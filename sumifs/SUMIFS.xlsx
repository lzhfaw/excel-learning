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UMI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<sst xmlns="http://schemas.openxmlformats.org/spreadsheetml/2006/main" count="35" uniqueCount="21">
  <si>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The following table details the revenue by bank account number</t>
  </si>
  <si>
    <t>Calculate the total revenue from "Gold" accounts in the State of NY</t>
  </si>
  <si>
    <t>Account #</t>
  </si>
  <si>
    <t>Type</t>
  </si>
  <si>
    <t>State</t>
  </si>
  <si>
    <t>Revenue</t>
  </si>
  <si>
    <t>Gold</t>
  </si>
  <si>
    <t>NY</t>
  </si>
  <si>
    <t>Silver</t>
  </si>
  <si>
    <t>PA</t>
  </si>
  <si>
    <t>NJ</t>
  </si>
  <si>
    <t>Bronze</t>
  </si>
  <si>
    <t>MA</t>
  </si>
  <si>
    <t>Answer:</t>
  </si>
  <si>
    <t>Checker (Hidden)</t>
  </si>
  <si>
    <t>=FORMULATEXT(B12)</t>
  </si>
  <si>
    <t>Without $</t>
  </si>
  <si>
    <t>Options</t>
  </si>
  <si>
    <t>=SUMIFS(D4:D13,B4:B13,"Gold",C4:C13,"NY")</t>
  </si>
  <si>
    <t>=SUMIFS(D4:D13,C4:C13,"NY",B4:B13,"Gold")</t>
  </si>
  <si>
    <t>=OR(I21:I25)&gt;&gt;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</si>
</sst>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0" xfId="0" applyFill="1" applyProtection="1">
      <protection locked="0"/>
    </xf>
    <xf numFmtId="0" fontId="1" fillId="0" borderId="0" xfId="0" applyFont="1" applyProtection="1">
      <protection hidden="1"/>
    </xf>
    <xf numFmtId="0" fontId="2" fillId="0" borderId="0" xfId="0" applyFont="1"/>
    <xf numFmtId="0" fontId="3" fillId="3" borderId="0" xfId="0" applyFont="1" applyFill="1"/>
    <xf numFmtId="0" fontId="2" fillId="3" borderId="0" xfId="0" applyFont="1" applyFill="1"/>
    <xf numFmtId="0" fontId="2" fillId="0" borderId="2" xfId="0" applyFont="1" applyBorder="1"/>
    <xf numFmtId="0" fontId="2" fillId="4" borderId="2" xfId="0" applyFont="1" applyFill="1" applyBorder="1"/>
    <xf numFmtId="0" fontId="2" fillId="3" borderId="2" xfId="0" applyFont="1" applyFill="1" applyBorder="1"/>
    <xf numFmtId="0" fontId="0" fillId="5" borderId="0" xfId="0" applyFill="1"/>
    <xf numFmtId="0" fontId="0" fillId="3" borderId="0" xfId="0" applyFill="1"/>
    <xf numFmtId="0" fontId="2" fillId="5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3" borderId="0" xfId="0" applyFont="1" applyFill="1" quotePrefix="1"/>
    <xf numFmtId="0" fontId="2" fillId="4" borderId="2" xfId="0" applyFont="1" applyFill="1" applyBorder="1" quotePrefix="1"/>
    <xf numFmtId="0" fontId="3" fillId="5" borderId="2" xfId="0" applyFont="1" applyFill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F10" sqref="F10"/>
    </sheetView>
  </sheetViews>
  <sheetFormatPr defaultColWidth="9" defaultRowHeight="14" outlineLevelCol="6"/>
  <cols>
    <col min="1" max="1" width="10.1833333333333" customWidth="1"/>
    <col min="2" max="2" width="12.1833333333333" customWidth="1"/>
    <col min="5" max="5" width="12" customWidth="1"/>
    <col min="6" max="6" width="33.5416666666667" customWidth="1"/>
  </cols>
  <sheetData>
    <row r="1" spans="1:4">
      <c r="A1" s="1" t="s">
        <v>0</v>
      </c>
    </row>
    <row r="2" spans="1:4">
      <c r="A2" s="1" t="s">
        <v>1</v>
      </c>
    </row>
    <row r="3" spans="1:4">
      <c r="A3" s="2" t="s">
        <v>2</v>
      </c>
      <c r="B3" s="2" t="s">
        <v>3</v>
      </c>
      <c r="C3" s="2" t="s">
        <v>4</v>
      </c>
      <c r="D3" s="2" t="s">
        <v>5</v>
      </c>
    </row>
    <row r="4" spans="1:4">
      <c r="A4" s="3">
        <v>1</v>
      </c>
      <c r="B4" s="4" t="s">
        <v>6</v>
      </c>
      <c r="C4" s="4" t="s">
        <v>7</v>
      </c>
      <c r="D4" s="5">
        <v>492</v>
      </c>
    </row>
    <row r="5" spans="1:4">
      <c r="A5" s="3">
        <v>2</v>
      </c>
      <c r="B5" s="4" t="s">
        <v>8</v>
      </c>
      <c r="C5" s="4" t="s">
        <v>9</v>
      </c>
      <c r="D5" s="5">
        <v>124</v>
      </c>
    </row>
    <row r="6" spans="1:4">
      <c r="A6" s="3">
        <v>3</v>
      </c>
      <c r="B6" s="4" t="s">
        <v>6</v>
      </c>
      <c r="C6" s="4" t="s">
        <v>10</v>
      </c>
      <c r="D6" s="5">
        <v>555</v>
      </c>
    </row>
    <row r="7" spans="1:4">
      <c r="A7" s="3">
        <v>4</v>
      </c>
      <c r="B7" s="4" t="s">
        <v>6</v>
      </c>
      <c r="C7" s="4" t="s">
        <v>7</v>
      </c>
      <c r="D7" s="5">
        <v>100</v>
      </c>
    </row>
    <row r="8" spans="1:4">
      <c r="A8" s="3">
        <v>5</v>
      </c>
      <c r="B8" s="4" t="s">
        <v>11</v>
      </c>
      <c r="C8" s="4" t="s">
        <v>7</v>
      </c>
      <c r="D8" s="5">
        <v>8</v>
      </c>
    </row>
    <row r="9" spans="1:4">
      <c r="A9" s="3">
        <v>6</v>
      </c>
      <c r="B9" s="4" t="s">
        <v>11</v>
      </c>
      <c r="C9" s="4" t="s">
        <v>12</v>
      </c>
      <c r="D9" s="5">
        <v>201</v>
      </c>
    </row>
    <row r="10" spans="1:4">
      <c r="A10" s="3">
        <v>7</v>
      </c>
      <c r="B10" s="4" t="s">
        <v>6</v>
      </c>
      <c r="C10" s="4" t="s">
        <v>7</v>
      </c>
      <c r="D10" s="5">
        <v>20</v>
      </c>
    </row>
    <row r="11" spans="1:4">
      <c r="A11" s="3">
        <v>8</v>
      </c>
      <c r="B11" s="4" t="s">
        <v>8</v>
      </c>
      <c r="C11" s="4" t="s">
        <v>9</v>
      </c>
      <c r="D11" s="5">
        <v>43</v>
      </c>
    </row>
    <row r="12" spans="1:4">
      <c r="A12" s="3">
        <v>9</v>
      </c>
      <c r="B12" s="4" t="s">
        <v>6</v>
      </c>
      <c r="C12" s="4" t="s">
        <v>9</v>
      </c>
      <c r="D12" s="5">
        <v>108</v>
      </c>
    </row>
    <row r="13" spans="1:4">
      <c r="A13" s="3">
        <v>10</v>
      </c>
      <c r="B13" s="4" t="s">
        <v>11</v>
      </c>
      <c r="C13" s="4" t="s">
        <v>10</v>
      </c>
      <c r="D13" s="5">
        <v>172</v>
      </c>
    </row>
    <row r="16" spans="1:4">
      <c r="B16" t="s">
        <v>13</v>
      </c>
      <c r="C16" s="6">
        <f>SUMIFS(D4:D13,B4:B13,"Gold",C4:C13,"NY")</f>
        <v>612</v>
      </c>
      <c r="D16" s="7" t="str">
        <f>IFERROR(IF(ISBLANK(C16),"&lt;= Insert formula here",IF(G35,"Correct! Good Job!","Try again")),"Try again")</f>
        <v>Correct! Good Job!</v>
      </c>
    </row>
    <row r="24" hidden="1"/>
    <row r="25" ht="14.5" hidden="1" spans="4:7">
      <c r="D25" s="8"/>
      <c r="E25" s="8" t="s">
        <v>14</v>
      </c>
      <c r="F25" s="8"/>
    </row>
    <row r="26" ht="14.5" hidden="1" spans="4:7">
      <c r="D26" s="8"/>
      <c r="E26" s="9" t="str">
        <f>_xlfn.FORMULATEXT(C16)</f>
        <v>=SUMIFS(D4:D13,B4:B13,"Gold",C4:C13,"NY")</v>
      </c>
      <c r="F26" s="19" t="s">
        <v>15</v>
      </c>
    </row>
    <row r="27" ht="14.5" hidden="1" spans="4:7">
      <c r="D27" s="8"/>
      <c r="E27" s="10" t="str">
        <f>SUBSTITUTE(E26,"$","")</f>
        <v>=SUMIFS(D4:D13,B4:B13,"Gold",C4:C13,"NY")</v>
      </c>
      <c r="F27" s="10" t="s">
        <v>16</v>
      </c>
    </row>
    <row r="28" ht="14.5" hidden="1" spans="4:7">
      <c r="D28" s="8"/>
      <c r="E28" s="8"/>
      <c r="F28" s="8"/>
    </row>
    <row r="29" ht="14.5" hidden="1" spans="4:7">
      <c r="D29" s="11"/>
      <c r="E29" s="12" t="s">
        <v>17</v>
      </c>
      <c r="F29" s="13" t="s">
        <v>16</v>
      </c>
      <c r="G29" s="14"/>
    </row>
    <row r="30" ht="14.5" hidden="1" spans="4:7">
      <c r="D30" s="11">
        <v>1</v>
      </c>
      <c r="E30" s="20" t="s">
        <v>18</v>
      </c>
      <c r="F30" s="13" t="str">
        <f>SUBSTITUTE(E30,"$","")</f>
        <v>=SUMIFS(D4:D13,B4:B13,"Gold",C4:C13,"NY")</v>
      </c>
      <c r="G30" s="15" t="b">
        <f>F30=$E$27</f>
        <v>1</v>
      </c>
    </row>
    <row r="31" ht="14.5" hidden="1" spans="4:7">
      <c r="D31" s="11">
        <v>2</v>
      </c>
      <c r="E31" s="20" t="s">
        <v>19</v>
      </c>
      <c r="F31" s="13" t="str">
        <f>SUBSTITUTE(E31,"$","")</f>
        <v>=SUMIFS(D4:D13,C4:C13,"NY",B4:B13,"Gold")</v>
      </c>
      <c r="G31" s="15" t="b">
        <f>F31=$E$27</f>
        <v>0</v>
      </c>
    </row>
    <row r="32" ht="14.5" hidden="1" spans="4:7">
      <c r="D32" s="11">
        <v>3</v>
      </c>
      <c r="E32" s="12"/>
      <c r="F32" s="13" t="str">
        <f>SUBSTITUTE(E32,"$","")</f>
        <v/>
      </c>
      <c r="G32" s="15" t="b">
        <f>F32=$E$27</f>
        <v>0</v>
      </c>
    </row>
    <row r="33" ht="14.5" hidden="1" spans="4:7">
      <c r="D33" s="11">
        <v>4</v>
      </c>
      <c r="E33" s="12"/>
      <c r="F33" s="13" t="str">
        <f>SUBSTITUTE(E33,"$","")</f>
        <v/>
      </c>
      <c r="G33" s="15" t="b">
        <f>F33=$E$27</f>
        <v>0</v>
      </c>
    </row>
    <row r="34" ht="14.5" hidden="1" spans="4:7">
      <c r="D34" s="11">
        <v>5</v>
      </c>
      <c r="E34" s="12"/>
      <c r="F34" s="13" t="str">
        <f>SUBSTITUTE(E34,"$","")</f>
        <v/>
      </c>
      <c r="G34" s="15" t="b">
        <f>F34=$E$27</f>
        <v>0</v>
      </c>
    </row>
    <row r="35" ht="14.5" hidden="1" spans="4:7">
      <c r="D35" s="16"/>
      <c r="E35" s="21" t="s">
        <v>20</v>
      </c>
      <c r="F35" s="17"/>
      <c r="G35" s="18" t="b">
        <f>OR(G30:G34)</f>
        <v>1</v>
      </c>
    </row>
    <row r="36" hidden="1"/>
    <row r="37" hidden="1"/>
  </sheetData>
  <sheetProtection algorithmName="SHA-512" hashValue="0MCXS4Kp9F1ZJXtkJzc1pJ3fpSo6LmSN1id3ZHBvk3iyrEVSSVvOPQCFgWTs3kj7trCcIbZjNRsISGeSHeeN3w==" saltValue="7tJ1EFow9hYLwErsz9/6mQ==" spinCount="100000" sheet="1"/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SUMIFS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凉   漠</cp:lastModifiedBy>
  <dcterms:created xsi:type="dcterms:W3CDTF">2019-11-12T01:42:00Z</dcterms:created>
  <dcterms:modified xsi:type="dcterms:W3CDTF">2026-04-16T00:07:53Z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8D38F764EA7E4BF8B58A976873A577E0_12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