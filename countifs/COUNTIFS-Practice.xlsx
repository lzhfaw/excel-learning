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COUNTI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<sst xmlns="http://schemas.openxmlformats.org/spreadsheetml/2006/main" count="27" uniqueCount="22">
  <si>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Use COUNTIFS to  calculate the number of boys over the age of 13</t>
  </si>
  <si>
    <t>Name</t>
  </si>
  <si>
    <t>Boy/Girl</t>
  </si>
  <si>
    <t>Age</t>
  </si>
  <si>
    <t>Alex</t>
  </si>
  <si>
    <t>Boy</t>
  </si>
  <si>
    <t>Danny</t>
  </si>
  <si>
    <t>Gabby</t>
  </si>
  <si>
    <t>Girl</t>
  </si>
  <si>
    <t>Kris</t>
  </si>
  <si>
    <t>Taylor</t>
  </si>
  <si>
    <t>Vic</t>
  </si>
  <si>
    <t>Answer:</t>
  </si>
  <si>
    <t>Checker (Hidden)</t>
  </si>
  <si>
    <t>=FORMULATEXT(B12)</t>
  </si>
  <si>
    <t>Without $</t>
  </si>
  <si>
    <t>Options</t>
  </si>
  <si>
    <t>=COUNTIFS(B3:B8,"boy",C3:C8,"&gt;"&amp;13)</t>
  </si>
  <si>
    <t>=COUNTIFS(B3:B8,"boy",C3:C8,"&gt;13")</t>
  </si>
  <si>
    <t>=COUNTIFS(C3:C8,"&gt;13",B3:B8,"boy")</t>
  </si>
  <si>
    <t>=COUNTIFS(C3:C8,"&gt;"&amp;13",B3:B8,"boy")</t>
  </si>
  <si>
    <t>=OR(I21:I25)&gt;&gt;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</si>
</sst>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0" xfId="0" applyFill="1" applyProtection="1">
      <protection locked="0"/>
    </xf>
    <xf numFmtId="0" fontId="1" fillId="0" borderId="0" xfId="0" applyFont="1" applyProtection="1">
      <protection hidden="1"/>
    </xf>
    <xf numFmtId="0" fontId="2" fillId="0" borderId="0" xfId="0" applyFont="1"/>
    <xf numFmtId="0" fontId="3" fillId="3" borderId="0" xfId="0" applyFont="1" applyFill="1"/>
    <xf numFmtId="0" fontId="2" fillId="3" borderId="0" xfId="0" applyFont="1" applyFill="1"/>
    <xf numFmtId="0" fontId="2" fillId="0" borderId="2" xfId="0" applyFont="1" applyBorder="1"/>
    <xf numFmtId="0" fontId="2" fillId="4" borderId="2" xfId="0" applyFont="1" applyFill="1" applyBorder="1"/>
    <xf numFmtId="0" fontId="2" fillId="3" borderId="2" xfId="0" applyFont="1" applyFill="1" applyBorder="1"/>
    <xf numFmtId="0" fontId="0" fillId="5" borderId="0" xfId="0" applyFill="1"/>
    <xf numFmtId="0" fontId="0" fillId="3" borderId="0" xfId="0" applyFill="1"/>
    <xf numFmtId="0" fontId="2" fillId="5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3" borderId="0" xfId="0" applyFont="1" applyFill="1" quotePrefix="1"/>
    <xf numFmtId="0" fontId="2" fillId="4" borderId="2" xfId="0" applyFont="1" applyFill="1" applyBorder="1" quotePrefix="1"/>
    <xf numFmtId="0" fontId="3" fillId="5" borderId="2" xfId="0" applyFon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C10" sqref="C10"/>
    </sheetView>
  </sheetViews>
  <sheetFormatPr defaultColWidth="9" defaultRowHeight="14" outlineLevelCol="6"/>
  <cols>
    <col min="1" max="2" width="12.2666666666667" customWidth="1"/>
    <col min="5" max="5" width="12" customWidth="1"/>
    <col min="6" max="6" width="33.5416666666667" customWidth="1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</row>
    <row r="3" spans="1:4">
      <c r="A3" s="3" t="s">
        <v>4</v>
      </c>
      <c r="B3" s="3" t="s">
        <v>5</v>
      </c>
      <c r="C3" s="4">
        <v>12</v>
      </c>
    </row>
    <row r="4" spans="1:4">
      <c r="A4" s="3" t="s">
        <v>6</v>
      </c>
      <c r="B4" s="3" t="s">
        <v>5</v>
      </c>
      <c r="C4" s="4">
        <v>14</v>
      </c>
    </row>
    <row r="5" spans="1:4">
      <c r="A5" s="3" t="s">
        <v>7</v>
      </c>
      <c r="B5" s="3" t="s">
        <v>8</v>
      </c>
      <c r="C5" s="4">
        <v>24</v>
      </c>
    </row>
    <row r="6" spans="1:4">
      <c r="A6" s="3" t="s">
        <v>9</v>
      </c>
      <c r="B6" s="3" t="s">
        <v>8</v>
      </c>
      <c r="C6" s="4">
        <v>32</v>
      </c>
    </row>
    <row r="7" spans="1:4">
      <c r="A7" s="3" t="s">
        <v>10</v>
      </c>
      <c r="B7" s="3" t="s">
        <v>5</v>
      </c>
      <c r="C7" s="4">
        <v>12</v>
      </c>
    </row>
    <row r="8" spans="1:4">
      <c r="A8" s="3" t="s">
        <v>11</v>
      </c>
      <c r="B8" s="3" t="s">
        <v>5</v>
      </c>
      <c r="C8" s="4">
        <v>17</v>
      </c>
    </row>
    <row r="10" spans="1:4">
      <c r="B10" t="s">
        <v>12</v>
      </c>
      <c r="C10" s="5">
        <f>COUNTIFS(B3:B8,"Boy",C3:C8,"&gt;13")</f>
        <v>2</v>
      </c>
      <c r="D10" s="6" t="str">
        <f>IF(ISBLANK(C10),"&lt;- Insert formula here!",IF(G34,"Good Job!","Try again"))</f>
        <v>Good Job!</v>
      </c>
    </row>
    <row r="23" hidden="1"/>
    <row r="24" ht="14.5" hidden="1" spans="4:7">
      <c r="D24" s="7"/>
      <c r="E24" s="7" t="s">
        <v>13</v>
      </c>
      <c r="F24" s="7"/>
    </row>
    <row r="25" ht="14.5" hidden="1" spans="4:7">
      <c r="D25" s="7"/>
      <c r="E25" s="8" t="str">
        <f>_xlfn.FORMULATEXT(C10)</f>
        <v>=COUNTIFS(B3:B8,"Boy",C3:C8,"&gt;13")</v>
      </c>
      <c r="F25" s="18" t="s">
        <v>14</v>
      </c>
    </row>
    <row r="26" ht="14.5" hidden="1" spans="4:7">
      <c r="D26" s="7"/>
      <c r="E26" s="9" t="str">
        <f>SUBSTITUTE(E25,"$","")</f>
        <v>=COUNTIFS(B3:B8,"Boy",C3:C8,"&gt;13")</v>
      </c>
      <c r="F26" s="9" t="s">
        <v>15</v>
      </c>
    </row>
    <row r="27" ht="14.5" hidden="1" spans="4:7">
      <c r="D27" s="7"/>
      <c r="E27" s="7"/>
      <c r="F27" s="7"/>
    </row>
    <row r="28" ht="14.5" hidden="1" spans="4:7">
      <c r="D28" s="10"/>
      <c r="E28" s="11" t="s">
        <v>16</v>
      </c>
      <c r="F28" s="12" t="s">
        <v>15</v>
      </c>
      <c r="G28" s="13"/>
    </row>
    <row r="29" ht="14.5" hidden="1" spans="4:7">
      <c r="D29" s="10">
        <v>1</v>
      </c>
      <c r="E29" s="19" t="s">
        <v>17</v>
      </c>
      <c r="F29" s="12" t="str">
        <f>SUBSTITUTE(E29,"$","")</f>
        <v>=COUNTIFS(B3:B8,"boy",C3:C8,"&gt;"&amp;13)</v>
      </c>
      <c r="G29" s="14" t="b">
        <f>F29=$E$26</f>
        <v>0</v>
      </c>
    </row>
    <row r="30" ht="14.5" hidden="1" spans="4:7">
      <c r="D30" s="10">
        <v>2</v>
      </c>
      <c r="E30" s="19" t="s">
        <v>18</v>
      </c>
      <c r="F30" s="12" t="str">
        <f>SUBSTITUTE(E30,"$","")</f>
        <v>=COUNTIFS(B3:B8,"boy",C3:C8,"&gt;13")</v>
      </c>
      <c r="G30" s="14" t="b">
        <f>F30=$E$26</f>
        <v>1</v>
      </c>
    </row>
    <row r="31" ht="14.5" hidden="1" spans="4:7">
      <c r="D31" s="10">
        <v>3</v>
      </c>
      <c r="E31" s="19" t="s">
        <v>19</v>
      </c>
      <c r="F31" s="12" t="str">
        <f>SUBSTITUTE(E31,"$","")</f>
        <v>=COUNTIFS(C3:C8,"&gt;13",B3:B8,"boy")</v>
      </c>
      <c r="G31" s="14" t="b">
        <f>F31=$E$26</f>
        <v>0</v>
      </c>
    </row>
    <row r="32" ht="14.5" hidden="1" spans="4:7">
      <c r="D32" s="10">
        <v>4</v>
      </c>
      <c r="E32" s="19" t="s">
        <v>20</v>
      </c>
      <c r="F32" s="12" t="str">
        <f>SUBSTITUTE(E32,"$","")</f>
        <v>=COUNTIFS(C3:C8,"&gt;"&amp;13",B3:B8,"boy")</v>
      </c>
      <c r="G32" s="14" t="b">
        <f>F32=$E$26</f>
        <v>0</v>
      </c>
    </row>
    <row r="33" ht="14.5" hidden="1" spans="4:7">
      <c r="D33" s="10">
        <v>5</v>
      </c>
      <c r="E33" s="11"/>
      <c r="F33" s="12" t="str">
        <f>SUBSTITUTE(E33,"$","")</f>
        <v/>
      </c>
      <c r="G33" s="14" t="b">
        <f>F33=$E$26</f>
        <v>0</v>
      </c>
    </row>
    <row r="34" ht="14.5" hidden="1" spans="4:7">
      <c r="D34" s="15"/>
      <c r="E34" s="20" t="s">
        <v>21</v>
      </c>
      <c r="F34" s="16"/>
      <c r="G34" s="17" t="b">
        <f>OR(G29:G33)</f>
        <v>1</v>
      </c>
    </row>
    <row r="35" hidden="1"/>
    <row r="36" hidden="1"/>
  </sheetData>
  <sheetProtection algorithmName="SHA-512" hashValue="OOyKaBf+P73JRryZpM/Bavz7Lo9Obkswvqy3hGcRHlHEHyp7doPhrG+EIMrjGHACDQ+lOam/MWE1XbxNUAUgiQ==" saltValue="ukSrZ+vZppnSj7SsKUkjUQ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凉   漠</cp:lastModifiedBy>
  <dcterms:created xsi:type="dcterms:W3CDTF">2019-11-12T01:42:00Z</dcterms:created>
  <dcterms:modified xsi:type="dcterms:W3CDTF">2026-04-16T00:15:04Z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52B8D997AFBE41988B2F321B716066F9_12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