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8080"/>
  </bookViews>
  <sheets>
    <sheet name="Question" sheetId="1" r:id="rId1"/>
    <sheet name="Sol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<sst xmlns="http://schemas.openxmlformats.org/spreadsheetml/2006/main" count="99" uniqueCount="54">
  <si>
    <t xml:space="preserve">What is Dina's favorite color? </t>
  </si>
  <si>
    <t>Note that some names appear more than once in the table!</t>
  </si>
  <si>
    <t xml:space="preserve">In case of duplicates, return last matching value. </t>
  </si>
  <si>
    <t>Name</t>
  </si>
  <si>
    <t>City</t>
  </si>
  <si>
    <t>Favorite Color</t>
  </si>
  <si>
    <t>Dina</t>
  </si>
  <si>
    <t>New York</t>
  </si>
  <si>
    <t>Blue</t>
  </si>
  <si>
    <t>Jake</t>
  </si>
  <si>
    <t>London</t>
  </si>
  <si>
    <t>Green</t>
  </si>
  <si>
    <t>Joel</t>
  </si>
  <si>
    <t>Tel Aviv</t>
  </si>
  <si>
    <t>Red</t>
  </si>
  <si>
    <t>Melbourne</t>
  </si>
  <si>
    <t>Yellow</t>
  </si>
  <si>
    <t>Sam</t>
  </si>
  <si>
    <t>Syndey</t>
  </si>
  <si>
    <t>Black</t>
  </si>
  <si>
    <t>Ralph</t>
  </si>
  <si>
    <t>Beijing</t>
  </si>
  <si>
    <t>John</t>
  </si>
  <si>
    <t>Dallas</t>
  </si>
  <si>
    <t>Name:</t>
  </si>
  <si>
    <t>Favorite Color:</t>
  </si>
  <si>
    <t>Checker (Hidden)</t>
  </si>
  <si>
    <t>=FORMULATEXT(b15)</t>
  </si>
  <si>
    <t>Without $</t>
  </si>
  <si>
    <t>Options</t>
  </si>
  <si>
    <t>=XLOOKUP(B14,A6:A12,C6:C12,,,-1)</t>
  </si>
  <si>
    <t>=XLOOKUP(B14,A6:A12,C6:C12,,0,-1)</t>
  </si>
  <si>
    <t>Special Check 1</t>
  </si>
  <si>
    <t>Special Check 2</t>
  </si>
  <si>
    <t>=OR(I21:I25)&gt;&gt;</t>
  </si>
  <si>
    <t>1st part</t>
  </si>
  <si>
    <t>Last Part</t>
  </si>
  <si>
    <t>=XLOOKUP(B14,A6:A12,C6:C12,</t>
  </si>
  <si>
    <t>,,-1)</t>
  </si>
  <si>
    <t>Search:</t>
  </si>
  <si>
    <t>Search</t>
  </si>
  <si>
    <t>Sum</t>
  </si>
  <si>
    <t>5 commas</t>
  </si>
  <si>
    <t>0,-1)</t>
  </si>
  <si>
    <t xml:space="preserve">Note that some names appear more than once. </t>
  </si>
  <si>
    <t xml:space="preserve">Here are some possible solutions - </t>
  </si>
  <si>
    <t>All solutions rely on using -1 in Search Mode (last argument):</t>
  </si>
  <si>
    <t>Method #1:</t>
  </si>
  <si>
    <t>Here we keep "not found" and "match mode" empty.</t>
  </si>
  <si>
    <t>Method #2:</t>
  </si>
  <si>
    <t>=XLOOKUP(B14,A6:A12,C6:C12,"not found",,-1)</t>
  </si>
  <si>
    <t>Here we use "not found" message in our if_not_found argument</t>
  </si>
  <si>
    <t>Method #3:</t>
  </si>
  <si>
    <t>Using match mode 0 means using exact match (default behavior)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</si>
</sst>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77"/>
      <scheme val="minor"/>
    </font>
    <font>
      <b/>
      <sz val="11"/>
      <color theme="1"/>
      <name val="等线"/>
      <charset val="177"/>
      <scheme val="minor"/>
    </font>
    <font>
      <sz val="11"/>
      <color rgb="FF444444"/>
      <name val="Calibri"/>
      <charset val="1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2"/>
      <color rgb="FF171717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3" applyNumberFormat="0" applyAlignment="0" applyProtection="0">
      <alignment vertical="center"/>
    </xf>
    <xf numFmtId="0" fontId="16" fillId="11" borderId="14" applyNumberFormat="0" applyAlignment="0" applyProtection="0">
      <alignment vertical="center"/>
    </xf>
    <xf numFmtId="0" fontId="17" fillId="11" borderId="13" applyNumberFormat="0" applyAlignment="0" applyProtection="0">
      <alignment vertical="center"/>
    </xf>
    <xf numFmtId="0" fontId="18" fillId="12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0" fontId="2" fillId="0" borderId="0" xfId="0" applyFont="1"/>
    <xf numFmtId="0" fontId="1" fillId="0" borderId="0" xfId="0" applyFont="1"/>
    <xf numFmtId="0" fontId="2" fillId="3" borderId="0" xfId="0" applyFont="1" applyFill="1"/>
    <xf numFmtId="0" fontId="0" fillId="4" borderId="0" xfId="0" applyFill="1"/>
    <xf numFmtId="0" fontId="0" fillId="3" borderId="0" xfId="0" applyFill="1" applyProtection="1">
      <protection locked="0"/>
    </xf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0" fontId="3" fillId="0" borderId="0" xfId="0" applyFont="1" applyProtection="1">
      <protection hidden="1"/>
    </xf>
    <xf numFmtId="0" fontId="4" fillId="5" borderId="0" xfId="0" applyFont="1" applyFill="1" applyProtection="1">
      <protection hidden="1"/>
    </xf>
    <xf numFmtId="0" fontId="3" fillId="5" borderId="0" xfId="0" applyFont="1" applyFill="1" applyProtection="1">
      <protection hidden="1"/>
    </xf>
    <xf numFmtId="0" fontId="3" fillId="0" borderId="5" xfId="0" applyFont="1" applyBorder="1" applyProtection="1">
      <protection hidden="1"/>
    </xf>
    <xf numFmtId="0" fontId="3" fillId="6" borderId="5" xfId="0" applyFont="1" applyFill="1" applyBorder="1" applyProtection="1">
      <protection hidden="1"/>
    </xf>
    <xf numFmtId="0" fontId="3" fillId="5" borderId="5" xfId="0" applyFont="1" applyFill="1" applyBorder="1" applyProtection="1">
      <protection hidden="1"/>
    </xf>
    <xf numFmtId="0" fontId="0" fillId="7" borderId="0" xfId="0" applyFill="1" applyProtection="1">
      <protection hidden="1"/>
    </xf>
    <xf numFmtId="0" fontId="0" fillId="5" borderId="0" xfId="0" applyFill="1" applyProtection="1">
      <protection hidden="1"/>
    </xf>
    <xf numFmtId="0" fontId="3" fillId="4" borderId="5" xfId="0" applyFont="1" applyFill="1" applyBorder="1" applyProtection="1">
      <protection hidden="1"/>
    </xf>
    <xf numFmtId="0" fontId="0" fillId="4" borderId="0" xfId="0" applyFill="1" applyProtection="1">
      <protection hidden="1"/>
    </xf>
    <xf numFmtId="0" fontId="3" fillId="7" borderId="5" xfId="0" applyFont="1" applyFill="1" applyBorder="1" applyProtection="1">
      <protection hidden="1"/>
    </xf>
    <xf numFmtId="0" fontId="4" fillId="7" borderId="5" xfId="0" applyFont="1" applyFill="1" applyBorder="1" applyProtection="1">
      <protection hidden="1"/>
    </xf>
    <xf numFmtId="0" fontId="4" fillId="8" borderId="5" xfId="0" applyFont="1" applyFill="1" applyBorder="1" applyProtection="1">
      <protection hidden="1"/>
    </xf>
    <xf numFmtId="0" fontId="5" fillId="0" borderId="0" xfId="0" applyFont="1"/>
    <xf numFmtId="0" fontId="4" fillId="5" borderId="0" xfId="0" applyFont="1" applyFill="1" applyProtection="1" quotePrefix="1">
      <protection hidden="1"/>
    </xf>
    <xf numFmtId="0" fontId="2" fillId="0" borderId="0" xfId="0" applyFont="1" quotePrefix="1"/>
    <xf numFmtId="0" fontId="4" fillId="7" borderId="5" xfId="0" applyFont="1" applyFill="1" applyBorder="1" applyProtection="1" quotePrefix="1">
      <protection hidden="1"/>
    </xf>
    <xf numFmtId="0" fontId="2" fillId="3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abSelected="1" workbookViewId="0">
      <selection activeCell="E17" sqref="E17"/>
    </sheetView>
  </sheetViews>
  <sheetFormatPr defaultColWidth="9" defaultRowHeight="14" outlineLevelCol="6"/>
  <cols>
    <col min="1" max="1" width="13.425" customWidth="1"/>
    <col min="2" max="2" width="9.85833333333333" customWidth="1"/>
    <col min="3" max="3" width="13.7083333333333" customWidth="1"/>
    <col min="4" max="4" width="10.2833333333333" customWidth="1"/>
    <col min="5" max="5" width="39.1416666666667" customWidth="1"/>
    <col min="6" max="6" width="28.1416666666667" customWidth="1"/>
  </cols>
  <sheetData>
    <row r="1" spans="1:3">
      <c r="A1" s="12" t="s">
        <v>0</v>
      </c>
    </row>
    <row r="2" spans="1:3">
      <c r="A2" t="s">
        <v>1</v>
      </c>
    </row>
    <row r="3" spans="1:3">
      <c r="A3" t="s">
        <v>2</v>
      </c>
    </row>
    <row r="4" ht="14.75"/>
    <row r="5" spans="1:3">
      <c r="A5" s="1" t="s">
        <v>3</v>
      </c>
      <c r="B5" s="2" t="s">
        <v>4</v>
      </c>
      <c r="C5" s="3" t="s">
        <v>5</v>
      </c>
    </row>
    <row r="6" spans="1:3">
      <c r="A6" s="4" t="s">
        <v>6</v>
      </c>
      <c r="B6" s="5" t="s">
        <v>7</v>
      </c>
      <c r="C6" s="6" t="s">
        <v>8</v>
      </c>
    </row>
    <row r="7" spans="1:3">
      <c r="A7" s="4" t="s">
        <v>9</v>
      </c>
      <c r="B7" s="5" t="s">
        <v>10</v>
      </c>
      <c r="C7" s="6" t="s">
        <v>11</v>
      </c>
    </row>
    <row r="8" spans="1:3">
      <c r="A8" s="4" t="s">
        <v>12</v>
      </c>
      <c r="B8" s="5" t="s">
        <v>13</v>
      </c>
      <c r="C8" s="6" t="s">
        <v>14</v>
      </c>
    </row>
    <row r="9" spans="1:3">
      <c r="A9" s="4" t="s">
        <v>6</v>
      </c>
      <c r="B9" s="5" t="s">
        <v>15</v>
      </c>
      <c r="C9" s="6" t="s">
        <v>16</v>
      </c>
    </row>
    <row r="10" spans="1:3">
      <c r="A10" s="4" t="s">
        <v>17</v>
      </c>
      <c r="B10" s="5" t="s">
        <v>18</v>
      </c>
      <c r="C10" s="6" t="s">
        <v>19</v>
      </c>
    </row>
    <row r="11" spans="1:3">
      <c r="A11" s="4" t="s">
        <v>20</v>
      </c>
      <c r="B11" s="5" t="s">
        <v>21</v>
      </c>
      <c r="C11" s="6" t="s">
        <v>11</v>
      </c>
    </row>
    <row r="12" ht="14.75" spans="1:3">
      <c r="A12" s="7" t="s">
        <v>22</v>
      </c>
      <c r="B12" s="8" t="s">
        <v>23</v>
      </c>
      <c r="C12" s="9" t="s">
        <v>14</v>
      </c>
    </row>
    <row r="14" spans="1:3">
      <c r="A14" t="s">
        <v>24</v>
      </c>
      <c r="B14" t="s">
        <v>6</v>
      </c>
    </row>
    <row r="15" spans="1:3">
      <c r="A15" t="s">
        <v>25</v>
      </c>
      <c r="B15" s="15" t="str">
        <f>_xlfn.XLOOKUP(B14,A6:A12,C6:C12,,,-1)</f>
        <v>Yellow</v>
      </c>
      <c r="C15" s="16" t="str">
        <f>IF(ISERROR(B15),"Error, please check the formula",IF(ISBLANK(B15),"&lt;- Insert formula here",IF(G34,"Correct! Good Job!","Wrong - Try again")))</f>
        <v>Correct! Good Job!</v>
      </c>
    </row>
    <row r="21" ht="22.5" customHeight="1"/>
    <row r="22" hidden="1"/>
    <row r="23" hidden="1" spans="3:7">
      <c r="D23" s="17"/>
      <c r="E23" s="17"/>
      <c r="F23" s="17"/>
      <c r="G23" s="17"/>
    </row>
    <row r="24" ht="14.5" hidden="1" spans="3:7">
      <c r="D24" s="18"/>
      <c r="E24" s="18" t="s">
        <v>26</v>
      </c>
      <c r="F24" s="18"/>
      <c r="G24" s="17"/>
    </row>
    <row r="25" ht="14.5" hidden="1" spans="3:7">
      <c r="D25" s="18"/>
      <c r="E25" s="19" t="str">
        <f>_xlfn.FORMULATEXT(B15)</f>
        <v>=XLOOKUP(B14,A6:A12,C6:C12,,,-1)</v>
      </c>
      <c r="F25" s="32" t="s">
        <v>27</v>
      </c>
      <c r="G25" s="17"/>
    </row>
    <row r="26" ht="14.5" hidden="1" spans="3:7">
      <c r="D26" s="17"/>
      <c r="E26" s="17"/>
      <c r="F26" s="18"/>
      <c r="G26" s="17"/>
    </row>
    <row r="27" ht="14.5" hidden="1" spans="3:7">
      <c r="D27" s="18"/>
      <c r="E27" s="20" t="str">
        <f>LEFT(SUBSTITUTE(E25,"$",""),F26)</f>
        <v/>
      </c>
      <c r="F27" s="20" t="s">
        <v>28</v>
      </c>
      <c r="G27" s="17"/>
    </row>
    <row r="28" ht="14.5" hidden="1" spans="3:7">
      <c r="D28" s="21"/>
      <c r="E28" s="22" t="s">
        <v>29</v>
      </c>
      <c r="F28" s="23" t="s">
        <v>28</v>
      </c>
      <c r="G28" s="24"/>
    </row>
    <row r="29" ht="14.5" hidden="1" spans="3:7">
      <c r="D29" s="21">
        <v>1</v>
      </c>
      <c r="E29" s="33" t="s">
        <v>30</v>
      </c>
      <c r="F29" s="23" t="str">
        <f>SUBSTITUTE(E29,"$","")</f>
        <v>=XLOOKUP(B14,A6:A12,C6:C12,,,-1)</v>
      </c>
      <c r="G29" s="25" t="b">
        <f>F29=$E$25</f>
        <v>1</v>
      </c>
    </row>
    <row r="30" ht="14.5" hidden="1" spans="3:7">
      <c r="D30" s="21">
        <v>2</v>
      </c>
      <c r="E30" s="33" t="s">
        <v>31</v>
      </c>
      <c r="F30" s="23" t="str">
        <f>SUBSTITUTE(E30,"$","")</f>
        <v>=XLOOKUP(B14,A6:A12,C6:C12,,0,-1)</v>
      </c>
      <c r="G30" s="25" t="b">
        <f>F30=$E$25</f>
        <v>0</v>
      </c>
    </row>
    <row r="31" ht="14.5" hidden="1" spans="3:7">
      <c r="D31" s="21">
        <v>3</v>
      </c>
      <c r="E31" s="11"/>
      <c r="F31" s="23"/>
      <c r="G31" s="25" t="b">
        <f>F31=$E$25</f>
        <v>0</v>
      </c>
    </row>
    <row r="32" s="14" customFormat="1" ht="14.5" hidden="1" spans="3:7">
      <c r="C32" s="14" t="s">
        <v>32</v>
      </c>
      <c r="D32" s="26">
        <v>4</v>
      </c>
      <c r="E32" s="26"/>
      <c r="F32" s="26" t="str">
        <f>SUBSTITUTE(E32,"$","")</f>
        <v/>
      </c>
      <c r="G32" s="27">
        <f>ISNUMBER(F39)*D40</f>
        <v>1</v>
      </c>
    </row>
    <row r="33" s="14" customFormat="1" ht="14.5" hidden="1" spans="3:7">
      <c r="C33" s="14" t="s">
        <v>33</v>
      </c>
      <c r="D33" s="26">
        <v>5</v>
      </c>
      <c r="E33" s="26"/>
      <c r="F33" s="26" t="str">
        <f>SUBSTITUTE(E33,"$","")</f>
        <v/>
      </c>
      <c r="G33" s="27" t="b">
        <f>ISNUMBER(F45)</f>
        <v>0</v>
      </c>
    </row>
    <row r="34" ht="14.5" hidden="1" spans="3:7">
      <c r="D34" s="28"/>
      <c r="E34" s="34" t="s">
        <v>34</v>
      </c>
      <c r="F34" s="29"/>
      <c r="G34" s="30" t="b">
        <f>OR(G29:G33)</f>
        <v>1</v>
      </c>
    </row>
    <row r="35" hidden="1"/>
    <row r="36" hidden="1" spans="3:7">
      <c r="C36" t="s">
        <v>32</v>
      </c>
      <c r="D36" t="s">
        <v>35</v>
      </c>
      <c r="E36" t="s">
        <v>36</v>
      </c>
    </row>
    <row r="37" ht="14.5" hidden="1" spans="3:7">
      <c r="D37" s="33" t="s">
        <v>37</v>
      </c>
      <c r="E37" s="33" t="s">
        <v>38</v>
      </c>
    </row>
    <row r="38" hidden="1" spans="3:7">
      <c r="D38" t="s">
        <v>39</v>
      </c>
      <c r="E38" t="s">
        <v>40</v>
      </c>
      <c r="F38" t="s">
        <v>41</v>
      </c>
    </row>
    <row r="39" hidden="1" spans="3:7">
      <c r="D39">
        <f>SEARCH(D37,E25)</f>
        <v>1</v>
      </c>
      <c r="E39">
        <f>SEARCH(E37,E25)</f>
        <v>28</v>
      </c>
      <c r="F39">
        <f>D39+E39</f>
        <v>29</v>
      </c>
    </row>
    <row r="40" ht="17.5" hidden="1" spans="3:7">
      <c r="C40" t="s">
        <v>42</v>
      </c>
      <c r="D40" s="31" t="b">
        <f>SUM(LEN(E25)-LEN(SUBSTITUTE(E25,",","")))/LEN(",")=5</f>
        <v>1</v>
      </c>
    </row>
    <row r="41" hidden="1"/>
    <row r="42" hidden="1" spans="3:7">
      <c r="C42" t="s">
        <v>33</v>
      </c>
      <c r="D42" t="s">
        <v>35</v>
      </c>
      <c r="E42" t="s">
        <v>36</v>
      </c>
    </row>
    <row r="43" ht="14.5" hidden="1" spans="3:7">
      <c r="D43" s="33" t="s">
        <v>37</v>
      </c>
      <c r="E43" s="33" t="s">
        <v>43</v>
      </c>
    </row>
    <row r="44" hidden="1" spans="3:7">
      <c r="D44" t="s">
        <v>39</v>
      </c>
      <c r="E44" t="s">
        <v>40</v>
      </c>
      <c r="F44" t="s">
        <v>41</v>
      </c>
    </row>
    <row r="45" hidden="1" spans="3:7">
      <c r="D45">
        <f>SEARCH(D43,E25)</f>
        <v>1</v>
      </c>
      <c r="E45" t="e">
        <f>SEARCH(E43,E25)</f>
        <v>#VALUE!</v>
      </c>
      <c r="F45" t="e">
        <f>D45+E45</f>
        <v>#VALUE!</v>
      </c>
    </row>
    <row r="46" hidden="1"/>
    <row r="47" hidden="1"/>
  </sheetData>
  <sheetProtection algorithmName="SHA-512" hashValue="B5LUIgDPCadbk3ANJegNGHYIRMhEbN1nhrUqvZURiYQpY3T//2pradK3du1RkZQ3+sFs4n4rP+jBsAA6qJwcBg==" saltValue="q7ffjipSSFGxmDwKsyCRVQ==" spinCount="100000" sheet="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opLeftCell="A6" workbookViewId="0">
      <selection activeCell="C15" sqref="C15"/>
    </sheetView>
  </sheetViews>
  <sheetFormatPr defaultColWidth="9" defaultRowHeight="14" outlineLevelCol="2"/>
  <cols>
    <col min="1" max="1" width="14.1416666666667" customWidth="1"/>
    <col min="3" max="3" width="13.8583333333333" customWidth="1"/>
  </cols>
  <sheetData>
    <row r="1" spans="1:3">
      <c r="A1" t="s">
        <v>0</v>
      </c>
    </row>
    <row r="2" spans="1:3">
      <c r="A2" t="s">
        <v>44</v>
      </c>
    </row>
    <row r="3" spans="1:3">
      <c r="A3" t="s">
        <v>2</v>
      </c>
    </row>
    <row r="4" ht="14.75"/>
    <row r="5" spans="1:3">
      <c r="A5" s="1" t="s">
        <v>3</v>
      </c>
      <c r="B5" s="2" t="s">
        <v>4</v>
      </c>
      <c r="C5" s="3" t="s">
        <v>5</v>
      </c>
    </row>
    <row r="6" spans="1:3">
      <c r="A6" s="4" t="s">
        <v>6</v>
      </c>
      <c r="B6" s="5" t="s">
        <v>7</v>
      </c>
      <c r="C6" s="6" t="s">
        <v>8</v>
      </c>
    </row>
    <row r="7" spans="1:3">
      <c r="A7" s="4" t="s">
        <v>9</v>
      </c>
      <c r="B7" s="5" t="s">
        <v>10</v>
      </c>
      <c r="C7" s="6" t="s">
        <v>11</v>
      </c>
    </row>
    <row r="8" spans="1:3">
      <c r="A8" s="4" t="s">
        <v>12</v>
      </c>
      <c r="B8" s="5" t="s">
        <v>13</v>
      </c>
      <c r="C8" s="6" t="s">
        <v>14</v>
      </c>
    </row>
    <row r="9" spans="1:3">
      <c r="A9" s="4" t="s">
        <v>6</v>
      </c>
      <c r="B9" s="5" t="s">
        <v>15</v>
      </c>
      <c r="C9" s="6" t="s">
        <v>16</v>
      </c>
    </row>
    <row r="10" spans="1:3">
      <c r="A10" s="4" t="s">
        <v>17</v>
      </c>
      <c r="B10" s="5" t="s">
        <v>18</v>
      </c>
      <c r="C10" s="6" t="s">
        <v>19</v>
      </c>
    </row>
    <row r="11" spans="1:3">
      <c r="A11" s="4" t="s">
        <v>20</v>
      </c>
      <c r="B11" s="5" t="s">
        <v>21</v>
      </c>
      <c r="C11" s="6" t="s">
        <v>11</v>
      </c>
    </row>
    <row r="12" ht="14.75" spans="1:3">
      <c r="A12" s="7" t="s">
        <v>22</v>
      </c>
      <c r="B12" s="8" t="s">
        <v>23</v>
      </c>
      <c r="C12" s="9" t="s">
        <v>14</v>
      </c>
    </row>
    <row r="14" spans="1:3">
      <c r="A14" t="s">
        <v>24</v>
      </c>
      <c r="B14" t="s">
        <v>6</v>
      </c>
    </row>
    <row r="15" ht="14.5" spans="1:3">
      <c r="A15" t="s">
        <v>25</v>
      </c>
      <c r="B15" s="10" t="str">
        <f>_xlfn.XLOOKUP(B14,A6:A12,C6:C12,,,-1)</f>
        <v>Yellow</v>
      </c>
      <c r="C15" s="33" t="s">
        <v>30</v>
      </c>
    </row>
    <row r="17" spans="1:2">
      <c r="A17" t="s">
        <v>45</v>
      </c>
    </row>
    <row r="18" spans="1:2">
      <c r="A18" t="s">
        <v>46</v>
      </c>
    </row>
    <row r="20" spans="1:2">
      <c r="A20" s="12" t="s">
        <v>47</v>
      </c>
    </row>
    <row r="21" ht="14.5" spans="1:2">
      <c r="A21" s="35" t="str">
        <f>_xlfn.XLOOKUP(B14,A6:A12,C6:C12,,,-1)</f>
        <v>Yellow</v>
      </c>
      <c r="B21" s="33" t="s">
        <v>30</v>
      </c>
    </row>
    <row r="22" spans="1:2">
      <c r="A22" t="s">
        <v>48</v>
      </c>
    </row>
    <row r="24" spans="1:2">
      <c r="A24" s="12" t="s">
        <v>49</v>
      </c>
    </row>
    <row r="25" ht="14.5" spans="1:2">
      <c r="A25" s="35" t="str">
        <f>_xlfn.XLOOKUP(B14,A6:A12,C6:C12,"not found",,-1)</f>
        <v>Yellow</v>
      </c>
      <c r="B25" s="33" t="s">
        <v>50</v>
      </c>
    </row>
    <row r="26" spans="1:2">
      <c r="A26" t="s">
        <v>51</v>
      </c>
    </row>
    <row r="28" spans="1:2">
      <c r="A28" s="12" t="s">
        <v>52</v>
      </c>
    </row>
    <row r="29" ht="14.5" spans="1:2">
      <c r="A29" s="35" t="str">
        <f>_xlfn.XLOOKUP(B14,A6:A12,C6:C12,,0,-1)</f>
        <v>Yellow</v>
      </c>
      <c r="B29" s="33" t="s">
        <v>31</v>
      </c>
    </row>
    <row r="30" spans="1:2">
      <c r="A30" t="s">
        <v>53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</vt:lpstr>
      <vt:lpstr>Solution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凉   漠</cp:lastModifiedBy>
  <dcterms:created xsi:type="dcterms:W3CDTF">2020-02-07T21:14:00Z</dcterms:created>
  <dcterms:modified xsi:type="dcterms:W3CDTF">2026-04-19T01:34:20Z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7794FC27026D442488E6E141887A7029_12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