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 firstSheet="1"/>
  </bookViews>
  <sheets>
    <sheet name="Question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<sst xmlns="http://schemas.openxmlformats.org/spreadsheetml/2006/main" count="70" uniqueCount="35">
  <si>
    <t>Return all car details for the car with Plate Number 5544667</t>
  </si>
  <si>
    <t>Car</t>
  </si>
  <si>
    <t>Type</t>
  </si>
  <si>
    <t>Plate Number</t>
  </si>
  <si>
    <t>Color</t>
  </si>
  <si>
    <t>Model Year</t>
  </si>
  <si>
    <t>Toyota</t>
  </si>
  <si>
    <t>Corola</t>
  </si>
  <si>
    <t>Red</t>
  </si>
  <si>
    <t>Nissan</t>
  </si>
  <si>
    <t>X Trail</t>
  </si>
  <si>
    <t>Black</t>
  </si>
  <si>
    <t>Subaru</t>
  </si>
  <si>
    <t>Impreza</t>
  </si>
  <si>
    <t>Mercedes</t>
  </si>
  <si>
    <t>S 600</t>
  </si>
  <si>
    <t>Yellow</t>
  </si>
  <si>
    <t>Honda</t>
  </si>
  <si>
    <t>Civic</t>
  </si>
  <si>
    <t>Blue</t>
  </si>
  <si>
    <t>Plate Number:</t>
  </si>
  <si>
    <t>Checker (Hidden)</t>
  </si>
  <si>
    <t>=FORMULATEXT(a12)</t>
  </si>
  <si>
    <t>Without $</t>
  </si>
  <si>
    <t>Options</t>
  </si>
  <si>
    <t>=XLOOKUP(B14,A6:A12,C6:C12,,,-1)</t>
  </si>
  <si>
    <t>=XLOOKUP(B10,C4:C8,A4:E8)</t>
  </si>
  <si>
    <t>=OR(I21:I25)&gt;&gt;</t>
  </si>
  <si>
    <t>Formula:</t>
  </si>
  <si>
    <t>In this example, we ask to look for the License Plate in cell B10,</t>
  </si>
  <si>
    <t>Then we ask to lookup the value in range C4:C8.</t>
  </si>
  <si>
    <t xml:space="preserve">Finally, we can return all the relevant data for this car by </t>
  </si>
  <si>
    <t>higlighting range A4:E8, so Excel will return all the row if matched!</t>
  </si>
  <si>
    <t>This magic happens using Excel Dynamic Arrays,</t>
  </si>
  <si>
    <t>which allows returning multiple values!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</si>
</sst>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77"/>
      <scheme val="minor"/>
    </font>
    <font>
      <b/>
      <sz val="11"/>
      <color theme="1"/>
      <name val="等线"/>
      <charset val="177"/>
      <scheme val="minor"/>
    </font>
    <font>
      <sz val="11"/>
      <color rgb="FF444444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444444"/>
      <name val="Calibri"/>
      <charset val="1"/>
    </font>
    <font>
      <sz val="12"/>
      <color rgb="FF171717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0" xfId="0" applyFill="1"/>
    <xf numFmtId="0" fontId="0" fillId="4" borderId="5" xfId="0" applyFill="1" applyBorder="1"/>
    <xf numFmtId="0" fontId="1" fillId="0" borderId="0" xfId="0" applyFont="1" applyProtection="1">
      <protection hidden="1"/>
    </xf>
    <xf numFmtId="0" fontId="2" fillId="0" borderId="0" xfId="0" applyFont="1"/>
    <xf numFmtId="0" fontId="0" fillId="5" borderId="0" xfId="0" applyFill="1"/>
    <xf numFmtId="0" fontId="0" fillId="3" borderId="0" xfId="0" applyFill="1" applyProtection="1">
      <protection locked="0"/>
    </xf>
    <xf numFmtId="0" fontId="0" fillId="4" borderId="5" xfId="0" applyFill="1" applyBorder="1" applyProtection="1">
      <protection locked="0"/>
    </xf>
    <xf numFmtId="0" fontId="3" fillId="0" borderId="0" xfId="0" applyFont="1"/>
    <xf numFmtId="0" fontId="4" fillId="6" borderId="0" xfId="0" applyFont="1" applyFill="1"/>
    <xf numFmtId="0" fontId="3" fillId="6" borderId="0" xfId="0" applyFont="1" applyFill="1"/>
    <xf numFmtId="0" fontId="3" fillId="0" borderId="7" xfId="0" applyFont="1" applyBorder="1"/>
    <xf numFmtId="0" fontId="3" fillId="7" borderId="7" xfId="0" applyFont="1" applyFill="1" applyBorder="1"/>
    <xf numFmtId="0" fontId="3" fillId="6" borderId="7" xfId="0" applyFont="1" applyFill="1" applyBorder="1"/>
    <xf numFmtId="0" fontId="0" fillId="8" borderId="0" xfId="0" applyFill="1"/>
    <xf numFmtId="0" fontId="5" fillId="0" borderId="0" xfId="0" applyFont="1"/>
    <xf numFmtId="0" fontId="0" fillId="6" borderId="0" xfId="0" applyFill="1"/>
    <xf numFmtId="0" fontId="3" fillId="5" borderId="7" xfId="0" applyFont="1" applyFill="1" applyBorder="1"/>
    <xf numFmtId="0" fontId="3" fillId="8" borderId="7" xfId="0" applyFont="1" applyFill="1" applyBorder="1"/>
    <xf numFmtId="0" fontId="4" fillId="8" borderId="7" xfId="0" applyFont="1" applyFill="1" applyBorder="1"/>
    <xf numFmtId="0" fontId="4" fillId="9" borderId="7" xfId="0" applyFont="1" applyFill="1" applyBorder="1"/>
    <xf numFmtId="0" fontId="6" fillId="0" borderId="0" xfId="0" applyFont="1"/>
    <xf numFmtId="0" fontId="4" fillId="6" borderId="0" xfId="0" applyFont="1" applyFill="1" quotePrefix="1"/>
    <xf numFmtId="0" fontId="5" fillId="0" borderId="0" xfId="0" applyFont="1" quotePrefix="1"/>
    <xf numFmtId="0" fontId="2" fillId="0" borderId="0" xfId="0" applyFont="1" quotePrefix="1"/>
    <xf numFmtId="0" fontId="4" fillId="8" borderId="7" xfId="0" applyFont="1" applyFill="1" applyBorder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E14" sqref="E14"/>
    </sheetView>
  </sheetViews>
  <sheetFormatPr defaultColWidth="9" defaultRowHeight="14" outlineLevelCol="6"/>
  <cols>
    <col min="1" max="1" width="14" customWidth="1"/>
    <col min="2" max="2" width="11.7083333333333" customWidth="1"/>
    <col min="3" max="3" width="12.425" customWidth="1"/>
    <col min="4" max="4" width="10.5666666666667" customWidth="1"/>
    <col min="5" max="5" width="11.1416666666667" customWidth="1"/>
    <col min="6" max="6" width="28.1416666666667" customWidth="1"/>
  </cols>
  <sheetData>
    <row r="1" spans="1:5">
      <c r="A1" s="1" t="s">
        <v>0</v>
      </c>
    </row>
    <row r="2" ht="14.75"/>
    <row r="3" spans="1:5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>
      <c r="A4" s="5" t="s">
        <v>6</v>
      </c>
      <c r="B4" s="6" t="s">
        <v>7</v>
      </c>
      <c r="C4" s="6">
        <v>3343453</v>
      </c>
      <c r="D4" s="6" t="s">
        <v>8</v>
      </c>
      <c r="E4" s="7">
        <v>2013</v>
      </c>
    </row>
    <row r="5" spans="1:5">
      <c r="A5" s="5" t="s">
        <v>9</v>
      </c>
      <c r="B5" s="6" t="s">
        <v>10</v>
      </c>
      <c r="C5" s="6">
        <v>5535334</v>
      </c>
      <c r="D5" s="6" t="s">
        <v>11</v>
      </c>
      <c r="E5" s="7">
        <v>2015</v>
      </c>
    </row>
    <row r="6" spans="1:5">
      <c r="A6" s="5" t="s">
        <v>12</v>
      </c>
      <c r="B6" s="6" t="s">
        <v>13</v>
      </c>
      <c r="C6" s="6">
        <v>6474574</v>
      </c>
      <c r="D6" s="6" t="s">
        <v>8</v>
      </c>
      <c r="E6" s="7">
        <v>2012</v>
      </c>
    </row>
    <row r="7" spans="1:5">
      <c r="A7" s="5" t="s">
        <v>14</v>
      </c>
      <c r="B7" s="6" t="s">
        <v>15</v>
      </c>
      <c r="C7" s="6">
        <v>5544667</v>
      </c>
      <c r="D7" s="6" t="s">
        <v>16</v>
      </c>
      <c r="E7" s="7">
        <v>2014</v>
      </c>
    </row>
    <row r="8" spans="1:5">
      <c r="A8" s="5" t="s">
        <v>17</v>
      </c>
      <c r="B8" s="6" t="s">
        <v>18</v>
      </c>
      <c r="C8" s="6">
        <v>4356434</v>
      </c>
      <c r="D8" s="6" t="s">
        <v>19</v>
      </c>
      <c r="E8" s="7">
        <v>2015</v>
      </c>
    </row>
    <row r="10" ht="14.75" spans="1:5">
      <c r="A10" t="s">
        <v>20</v>
      </c>
      <c r="B10" s="13">
        <v>5544667</v>
      </c>
    </row>
    <row r="11" spans="1:5">
      <c r="A11" s="2" t="s">
        <v>1</v>
      </c>
      <c r="B11" s="3" t="s">
        <v>2</v>
      </c>
      <c r="C11" s="3" t="s">
        <v>3</v>
      </c>
      <c r="D11" s="3" t="s">
        <v>4</v>
      </c>
      <c r="E11" s="4" t="s">
        <v>5</v>
      </c>
    </row>
    <row r="12" spans="1:5">
      <c r="A12" s="14" t="str" cm="1">
        <f t="array" ref="A12:E12">_xlfn.XLOOKUP(B10,C4:C8,A4:E8)</f>
        <v>Mercedes</v>
      </c>
      <c r="B12" s="6" t="str">
        <v>S 600</v>
      </c>
      <c r="C12" s="6">
        <v>5544667</v>
      </c>
      <c r="D12" s="6" t="str">
        <v>Yellow</v>
      </c>
      <c r="E12" s="6">
        <v>2014</v>
      </c>
    </row>
    <row r="13" spans="1:5">
      <c r="A13" s="10" t="str">
        <f>IF(ISERROR(A12),"Error, please check the formula",IF(ISBLANK(A12),"^ Insert formula above",IF(G30,"Correct! Good Job!","Wrong - Try again")))</f>
        <v>Correct! Good Job!</v>
      </c>
    </row>
    <row r="17" ht="22.5" customHeight="1"/>
    <row r="18" hidden="1"/>
    <row r="19" hidden="1"/>
    <row r="20" ht="14.5" hidden="1" spans="4:7">
      <c r="D20" s="15"/>
      <c r="E20" s="15" t="s">
        <v>21</v>
      </c>
      <c r="F20" s="15"/>
    </row>
    <row r="21" ht="14.5" hidden="1" spans="4:7">
      <c r="D21" s="15"/>
      <c r="E21" s="16" t="str">
        <f>_xlfn.FORMULATEXT(A12)</f>
        <v>=XLOOKUP(B10,C4:C8,A4:E8)</v>
      </c>
      <c r="F21" s="29" t="s">
        <v>22</v>
      </c>
    </row>
    <row r="22" ht="14.5" hidden="1" spans="4:7">
      <c r="F22" s="15"/>
    </row>
    <row r="23" ht="14.5" hidden="1" spans="4:7">
      <c r="D23" s="15"/>
      <c r="E23" s="17" t="str">
        <f>LEFT(SUBSTITUTE(E21,"$",""),F22)</f>
        <v/>
      </c>
      <c r="F23" s="17" t="s">
        <v>23</v>
      </c>
    </row>
    <row r="24" ht="14.5" hidden="1" spans="4:7">
      <c r="D24" s="18"/>
      <c r="E24" s="19" t="s">
        <v>24</v>
      </c>
      <c r="F24" s="20" t="s">
        <v>23</v>
      </c>
      <c r="G24" s="21"/>
    </row>
    <row r="25" ht="14.5" hidden="1" spans="4:7">
      <c r="D25" s="18">
        <v>1</v>
      </c>
      <c r="E25" s="30" t="s">
        <v>25</v>
      </c>
      <c r="F25" s="31" t="s">
        <v>26</v>
      </c>
      <c r="G25" s="23" t="b">
        <f>F25=E21</f>
        <v>1</v>
      </c>
    </row>
    <row r="26" ht="14.5" hidden="1" spans="4:7">
      <c r="D26" s="18">
        <v>2</v>
      </c>
      <c r="E26" s="22"/>
      <c r="F26" s="11"/>
      <c r="G26" s="23"/>
    </row>
    <row r="27" ht="14.5" hidden="1" spans="4:7">
      <c r="D27" s="18">
        <v>3</v>
      </c>
      <c r="E27" s="22"/>
      <c r="F27" s="20"/>
      <c r="G27" s="23"/>
    </row>
    <row r="28" s="12" customFormat="1" ht="14.5" hidden="1" spans="4:7">
      <c r="D28" s="24"/>
      <c r="E28" s="24"/>
      <c r="F28" s="24"/>
      <c r="G28" s="23"/>
    </row>
    <row r="29" s="12" customFormat="1" ht="14.5" hidden="1" spans="4:7">
      <c r="D29" s="24"/>
      <c r="E29" s="24"/>
      <c r="F29" s="24"/>
      <c r="G29" s="23"/>
    </row>
    <row r="30" ht="14.5" hidden="1" spans="4:7">
      <c r="D30" s="25"/>
      <c r="E30" s="32" t="s">
        <v>27</v>
      </c>
      <c r="F30" s="26"/>
      <c r="G30" s="27" t="b">
        <f>OR(G25:G29)</f>
        <v>1</v>
      </c>
    </row>
    <row r="31" hidden="1"/>
    <row r="33" ht="14.5" spans="4:5">
      <c r="D33" s="22"/>
      <c r="E33" s="22"/>
    </row>
    <row r="36" ht="17.5" spans="4:5">
      <c r="D36" s="28"/>
    </row>
    <row r="39" ht="14.5" spans="4:5">
      <c r="D39" s="22"/>
      <c r="E39" s="22"/>
    </row>
  </sheetData>
  <sheetProtection algorithmName="SHA-512" hashValue="lHRVw8TjxA2mueH6AGUhHfp+/RqxQx/qeLZqBOrPN+xJokweozvTha5VIO6iARi2F0zL0IYIVC4geXRu0BKX2g==" saltValue="MhVe9s1kAxxaYOMTl2JquQ==" spinCount="100000" sheet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2" sqref="A12"/>
    </sheetView>
  </sheetViews>
  <sheetFormatPr defaultColWidth="9" defaultRowHeight="14" outlineLevelCol="4"/>
  <cols>
    <col min="1" max="1" width="14.1416666666667" customWidth="1"/>
    <col min="3" max="3" width="13.8583333333333" customWidth="1"/>
  </cols>
  <sheetData>
    <row r="1" spans="1:5">
      <c r="A1" s="1" t="s">
        <v>0</v>
      </c>
    </row>
    <row r="2" ht="14.75"/>
    <row r="3" spans="1:5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>
      <c r="A4" s="5" t="s">
        <v>6</v>
      </c>
      <c r="B4" s="6" t="s">
        <v>7</v>
      </c>
      <c r="C4" s="6">
        <v>3343453</v>
      </c>
      <c r="D4" s="6" t="s">
        <v>8</v>
      </c>
      <c r="E4" s="7">
        <v>2013</v>
      </c>
    </row>
    <row r="5" spans="1:5">
      <c r="A5" s="5" t="s">
        <v>9</v>
      </c>
      <c r="B5" s="6" t="s">
        <v>10</v>
      </c>
      <c r="C5" s="6">
        <v>5535334</v>
      </c>
      <c r="D5" s="6" t="s">
        <v>11</v>
      </c>
      <c r="E5" s="7">
        <v>2015</v>
      </c>
    </row>
    <row r="6" spans="1:5">
      <c r="A6" s="5" t="s">
        <v>12</v>
      </c>
      <c r="B6" s="6" t="s">
        <v>13</v>
      </c>
      <c r="C6" s="6">
        <v>6474574</v>
      </c>
      <c r="D6" s="6" t="s">
        <v>8</v>
      </c>
      <c r="E6" s="7">
        <v>2012</v>
      </c>
    </row>
    <row r="7" spans="1:5">
      <c r="A7" s="5" t="s">
        <v>14</v>
      </c>
      <c r="B7" s="6" t="s">
        <v>15</v>
      </c>
      <c r="C7" s="6">
        <v>5544667</v>
      </c>
      <c r="D7" s="6" t="s">
        <v>16</v>
      </c>
      <c r="E7" s="7">
        <v>2014</v>
      </c>
    </row>
    <row r="8" spans="1:5">
      <c r="A8" s="5" t="s">
        <v>17</v>
      </c>
      <c r="B8" s="6" t="s">
        <v>18</v>
      </c>
      <c r="C8" s="6">
        <v>4356434</v>
      </c>
      <c r="D8" s="6" t="s">
        <v>19</v>
      </c>
      <c r="E8" s="7">
        <v>2015</v>
      </c>
    </row>
    <row r="10" ht="14.75" spans="1:5">
      <c r="A10" t="s">
        <v>20</v>
      </c>
      <c r="B10" s="8">
        <v>5544667</v>
      </c>
    </row>
    <row r="11" spans="1:5">
      <c r="A11" s="2" t="s">
        <v>1</v>
      </c>
      <c r="B11" s="3" t="s">
        <v>2</v>
      </c>
      <c r="C11" s="3" t="s">
        <v>3</v>
      </c>
      <c r="D11" s="3" t="s">
        <v>4</v>
      </c>
      <c r="E11" s="4" t="s">
        <v>5</v>
      </c>
    </row>
    <row r="12" spans="1:5">
      <c r="A12" s="9" t="str" cm="1">
        <f t="array" ref="A12:E12">_xlfn.XLOOKUP(B10,C4:C8,A4:E8)</f>
        <v>Mercedes</v>
      </c>
      <c r="B12" s="6" t="str">
        <v>S 600</v>
      </c>
      <c r="C12" s="6">
        <v>5544667</v>
      </c>
      <c r="D12" s="6" t="str">
        <v>Yellow</v>
      </c>
      <c r="E12" s="6">
        <v>2014</v>
      </c>
    </row>
    <row r="13" spans="1:5">
      <c r="A13" s="10"/>
    </row>
    <row r="14" spans="1:5">
      <c r="A14" s="1" t="s">
        <v>28</v>
      </c>
    </row>
    <row r="15" ht="14.5" spans="1:5">
      <c r="A15" s="31" t="s">
        <v>26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s="33" t="s">
        <v>32</v>
      </c>
    </row>
    <row r="21" spans="1:1">
      <c r="A21" t="s">
        <v>33</v>
      </c>
    </row>
    <row r="22" spans="1:1">
      <c r="A22" t="s">
        <v>34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凉   漠</cp:lastModifiedBy>
  <dcterms:created xsi:type="dcterms:W3CDTF">2020-02-07T21:14:00Z</dcterms:created>
  <dcterms:modified xsi:type="dcterms:W3CDTF">2026-04-19T01:40:11Z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B6C5779815F44B62BA1A65F0B7DD8671_12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