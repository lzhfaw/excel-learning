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Question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<sst xmlns="http://schemas.openxmlformats.org/spreadsheetml/2006/main" count="38" uniqueCount="23">
  <si>
    <t>Use XLOOKUP to return the gross profit for Q2:</t>
  </si>
  <si>
    <t>Quarter</t>
  </si>
  <si>
    <t>Q1</t>
  </si>
  <si>
    <t>Q2</t>
  </si>
  <si>
    <t>Q3</t>
  </si>
  <si>
    <t>Q4</t>
  </si>
  <si>
    <t>Revenue</t>
  </si>
  <si>
    <t>Cost of sales</t>
  </si>
  <si>
    <t>Gross Profit</t>
  </si>
  <si>
    <t>Checker (Hidden)</t>
  </si>
  <si>
    <t>=FORMULATEXT(b24)</t>
  </si>
  <si>
    <t>Without $</t>
  </si>
  <si>
    <t>Options</t>
  </si>
  <si>
    <t>=XLOOKUP(A10,B3:E3,B6:E6)</t>
  </si>
  <si>
    <t>=XLOOKUP(A10,a3:E3,a6:E6)</t>
  </si>
  <si>
    <t>=XLOOKUP("q2",B3:E3,B6:E6)</t>
  </si>
  <si>
    <t>=XLOOKUP("q2",a3:E3,a6:E6)</t>
  </si>
  <si>
    <t>=OR(I21:I25)&gt;&gt;</t>
  </si>
  <si>
    <t>Solution:</t>
  </si>
  <si>
    <t>We can easily do a horizontal lookup (similar to HLOOKUP).</t>
  </si>
  <si>
    <t>We use the same formula as in vertical lookups.</t>
  </si>
  <si>
    <t>We just need to use horizontal range selection instead of vertical.</t>
  </si>
  <si>
    <t>Easy, right?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</si>
</sst>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8">
    <font>
      <sz val="11"/>
      <color theme="1"/>
      <name val="等线"/>
      <charset val="177"/>
      <scheme val="minor"/>
    </font>
    <font>
      <b/>
      <sz val="11"/>
      <color theme="1"/>
      <name val="等线"/>
      <charset val="177"/>
      <scheme val="minor"/>
    </font>
    <font>
      <sz val="11"/>
      <color rgb="FF444444"/>
      <name val="Calibri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444444"/>
      <name val="Calibri"/>
      <charset val="1"/>
    </font>
    <font>
      <sz val="12"/>
      <color rgb="FF171717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176" fontId="0" fillId="0" borderId="5" xfId="1" applyNumberFormat="1" applyFont="1" applyBorder="1" applyAlignment="1">
      <alignment horizontal="center"/>
    </xf>
    <xf numFmtId="176" fontId="0" fillId="0" borderId="6" xfId="1" applyNumberFormat="1" applyFont="1" applyBorder="1" applyAlignment="1">
      <alignment horizontal="center"/>
    </xf>
    <xf numFmtId="0" fontId="0" fillId="0" borderId="7" xfId="0" applyBorder="1"/>
    <xf numFmtId="176" fontId="0" fillId="0" borderId="8" xfId="1" applyNumberFormat="1" applyFont="1" applyBorder="1" applyAlignment="1">
      <alignment horizontal="center"/>
    </xf>
    <xf numFmtId="176" fontId="0" fillId="0" borderId="9" xfId="1" applyNumberFormat="1" applyFont="1" applyBorder="1" applyAlignment="1">
      <alignment horizontal="center"/>
    </xf>
    <xf numFmtId="0" fontId="0" fillId="3" borderId="0" xfId="0" applyFill="1"/>
    <xf numFmtId="176" fontId="0" fillId="4" borderId="0" xfId="0" applyNumberFormat="1" applyFill="1"/>
    <xf numFmtId="0" fontId="1" fillId="0" borderId="0" xfId="0" applyFont="1" applyProtection="1">
      <protection hidden="1"/>
    </xf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76" fontId="0" fillId="0" borderId="5" xfId="1" applyNumberFormat="1" applyFont="1" applyBorder="1" applyAlignment="1" applyProtection="1">
      <alignment horizontal="center"/>
    </xf>
    <xf numFmtId="176" fontId="0" fillId="0" borderId="6" xfId="1" applyNumberFormat="1" applyFont="1" applyBorder="1" applyAlignment="1" applyProtection="1">
      <alignment horizontal="center"/>
    </xf>
    <xf numFmtId="176" fontId="0" fillId="0" borderId="8" xfId="1" applyNumberFormat="1" applyFont="1" applyBorder="1" applyAlignment="1" applyProtection="1">
      <alignment horizontal="center"/>
    </xf>
    <xf numFmtId="176" fontId="0" fillId="0" borderId="9" xfId="1" applyNumberFormat="1" applyFont="1" applyBorder="1" applyAlignment="1" applyProtection="1">
      <alignment horizontal="center"/>
    </xf>
    <xf numFmtId="176" fontId="0" fillId="4" borderId="0" xfId="0" applyNumberFormat="1" applyFill="1" applyProtection="1">
      <protection locked="0"/>
    </xf>
    <xf numFmtId="0" fontId="4" fillId="0" borderId="0" xfId="0" applyFont="1"/>
    <xf numFmtId="0" fontId="5" fillId="5" borderId="0" xfId="0" applyFont="1" applyFill="1"/>
    <xf numFmtId="0" fontId="4" fillId="5" borderId="0" xfId="0" applyFont="1" applyFill="1"/>
    <xf numFmtId="0" fontId="4" fillId="0" borderId="10" xfId="0" applyFont="1" applyBorder="1"/>
    <xf numFmtId="0" fontId="4" fillId="6" borderId="10" xfId="0" applyFont="1" applyFill="1" applyBorder="1"/>
    <xf numFmtId="0" fontId="4" fillId="5" borderId="10" xfId="0" applyFont="1" applyFill="1" applyBorder="1"/>
    <xf numFmtId="0" fontId="0" fillId="7" borderId="0" xfId="0" applyFill="1"/>
    <xf numFmtId="0" fontId="0" fillId="5" borderId="0" xfId="0" applyFill="1"/>
    <xf numFmtId="0" fontId="4" fillId="7" borderId="10" xfId="0" applyFont="1" applyFill="1" applyBorder="1"/>
    <xf numFmtId="0" fontId="5" fillId="7" borderId="10" xfId="0" applyFont="1" applyFill="1" applyBorder="1"/>
    <xf numFmtId="0" fontId="5" fillId="8" borderId="10" xfId="0" applyFont="1" applyFill="1" applyBorder="1"/>
    <xf numFmtId="0" fontId="6" fillId="0" borderId="0" xfId="0" applyFont="1"/>
    <xf numFmtId="0" fontId="7" fillId="0" borderId="0" xfId="0" applyFont="1"/>
    <xf numFmtId="0" fontId="5" fillId="5" borderId="0" xfId="0" applyFont="1" applyFill="1" quotePrefix="1"/>
    <xf numFmtId="0" fontId="2" fillId="0" borderId="0" xfId="0" applyFont="1" quotePrefix="1"/>
    <xf numFmtId="0" fontId="5" fillId="7" borderId="10" xfId="0" applyFon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B10" sqref="B10"/>
    </sheetView>
  </sheetViews>
  <sheetFormatPr defaultColWidth="9.14166666666667" defaultRowHeight="14" outlineLevelCol="6"/>
  <cols>
    <col min="1" max="1" width="11.1416666666667" customWidth="1"/>
    <col min="2" max="2" width="10.8583333333333" customWidth="1"/>
    <col min="3" max="3" width="8.425" customWidth="1"/>
    <col min="4" max="4" width="10.8583333333333" customWidth="1"/>
    <col min="5" max="5" width="8.425" customWidth="1"/>
    <col min="6" max="6" width="28.1416666666667" customWidth="1"/>
  </cols>
  <sheetData>
    <row r="1" spans="1:5">
      <c r="A1" t="s">
        <v>0</v>
      </c>
    </row>
    <row r="2" ht="14.75"/>
    <row r="3" spans="1:5">
      <c r="A3" s="14" t="s">
        <v>1</v>
      </c>
      <c r="B3" s="15" t="s">
        <v>2</v>
      </c>
      <c r="C3" s="15" t="s">
        <v>3</v>
      </c>
      <c r="D3" s="15" t="s">
        <v>4</v>
      </c>
      <c r="E3" s="16" t="s">
        <v>5</v>
      </c>
    </row>
    <row r="4" spans="1:5">
      <c r="A4" s="4" t="s">
        <v>6</v>
      </c>
      <c r="B4" s="17">
        <v>174310</v>
      </c>
      <c r="C4" s="17">
        <v>139722</v>
      </c>
      <c r="D4" s="17">
        <v>154988</v>
      </c>
      <c r="E4" s="18">
        <v>181816</v>
      </c>
    </row>
    <row r="5" spans="1:5">
      <c r="A5" s="4" t="s">
        <v>7</v>
      </c>
      <c r="B5" s="17">
        <v>112921</v>
      </c>
      <c r="C5" s="17">
        <v>112466</v>
      </c>
      <c r="D5" s="17">
        <v>113796</v>
      </c>
      <c r="E5" s="18">
        <v>101873</v>
      </c>
    </row>
    <row r="6" ht="14.75" spans="1:5">
      <c r="A6" s="7" t="s">
        <v>8</v>
      </c>
      <c r="B6" s="19">
        <f>B4-B5</f>
        <v>61389</v>
      </c>
      <c r="C6" s="19">
        <f>C4-C5</f>
        <v>27256</v>
      </c>
      <c r="D6" s="19">
        <f>D4-D5</f>
        <v>41192</v>
      </c>
      <c r="E6" s="20">
        <f>E4-E5</f>
        <v>79943</v>
      </c>
    </row>
    <row r="8" spans="1:5">
      <c r="A8" t="s">
        <v>8</v>
      </c>
    </row>
    <row r="10" spans="1:5">
      <c r="A10" s="10" t="s">
        <v>3</v>
      </c>
      <c r="B10" s="21" cm="1">
        <f t="array" ref="B10">_xlfn.XLOOKUP(A10,B3:E3,B6:E6)</f>
        <v>27256</v>
      </c>
      <c r="C10" s="12" t="str">
        <f>IF(ISERROR(B10),"Error, please check the formula",IF(ISBLANK(B10),"&lt;- Insert formula here",IF(G33,"Correct! Good Job!","Wrong - Try again")))</f>
        <v>Correct! Good Job!</v>
      </c>
    </row>
    <row r="19" hidden="1"/>
    <row r="20" ht="22.5" hidden="1" customHeight="1"/>
    <row r="21" hidden="1"/>
    <row r="22" hidden="1"/>
    <row r="23" ht="14.5" hidden="1" spans="4:7">
      <c r="D23" s="22"/>
      <c r="E23" s="22" t="s">
        <v>9</v>
      </c>
      <c r="F23" s="22"/>
    </row>
    <row r="24" ht="14.5" hidden="1" spans="4:7">
      <c r="D24" s="22"/>
      <c r="E24" s="23" t="str">
        <f>_xlfn.FORMULATEXT(B10)</f>
        <v>=XLOOKUP(A10,B3:E3,B6:E6)</v>
      </c>
      <c r="F24" s="35" t="s">
        <v>10</v>
      </c>
    </row>
    <row r="25" ht="14.5" hidden="1" spans="4:7">
      <c r="F25" s="22"/>
    </row>
    <row r="26" ht="14.5" hidden="1" spans="4:7">
      <c r="D26" s="22"/>
      <c r="E26" s="24" t="str">
        <f>LEFT(SUBSTITUTE(E24,"$",""),F25)</f>
        <v/>
      </c>
      <c r="F26" s="24" t="s">
        <v>11</v>
      </c>
    </row>
    <row r="27" ht="14.5" hidden="1" spans="4:7">
      <c r="D27" s="25"/>
      <c r="E27" s="26" t="s">
        <v>12</v>
      </c>
      <c r="F27" s="27" t="s">
        <v>11</v>
      </c>
      <c r="G27" s="28"/>
    </row>
    <row r="28" ht="14.5" hidden="1" spans="4:7">
      <c r="D28" s="25">
        <v>1</v>
      </c>
      <c r="E28" s="36" t="s">
        <v>13</v>
      </c>
      <c r="F28" s="27" t="str">
        <f>SUBSTITUTE(E28,"$","")</f>
        <v>=XLOOKUP(A10,B3:E3,B6:E6)</v>
      </c>
      <c r="G28" s="29" t="b">
        <f>F28=$E$24</f>
        <v>1</v>
      </c>
    </row>
    <row r="29" ht="14.5" hidden="1" spans="4:7">
      <c r="D29" s="25">
        <v>2</v>
      </c>
      <c r="E29" s="36" t="s">
        <v>14</v>
      </c>
      <c r="F29" s="27" t="str">
        <f>SUBSTITUTE(E29,"$","")</f>
        <v>=XLOOKUP(A10,a3:E3,a6:E6)</v>
      </c>
      <c r="G29" s="29" t="b">
        <f>F29=$E$24</f>
        <v>0</v>
      </c>
    </row>
    <row r="30" ht="14.5" hidden="1" spans="4:7">
      <c r="D30" s="25">
        <v>5</v>
      </c>
      <c r="E30" s="36" t="s">
        <v>15</v>
      </c>
      <c r="F30" s="27" t="str">
        <f>SUBSTITUTE(E30,"$","")</f>
        <v>=XLOOKUP("q2",B3:E3,B6:E6)</v>
      </c>
      <c r="G30" s="29" t="b">
        <f>F30=$E$24</f>
        <v>0</v>
      </c>
    </row>
    <row r="31" ht="14.5" hidden="1" spans="4:7">
      <c r="D31" s="25">
        <v>6</v>
      </c>
      <c r="E31" s="36" t="s">
        <v>16</v>
      </c>
      <c r="F31" s="27" t="str">
        <f>SUBSTITUTE(E31,"$","")</f>
        <v>=XLOOKUP("q2",a3:E3,a6:E6)</v>
      </c>
      <c r="G31" s="29" t="b">
        <f>F31=$E$24</f>
        <v>0</v>
      </c>
    </row>
    <row r="32" ht="14.5" hidden="1" spans="4:7">
      <c r="D32" s="25"/>
      <c r="E32" s="13"/>
      <c r="F32" s="27"/>
      <c r="G32" s="29"/>
    </row>
    <row r="33" ht="14.5" hidden="1" spans="4:7">
      <c r="D33" s="30"/>
      <c r="E33" s="37" t="s">
        <v>17</v>
      </c>
      <c r="F33" s="31"/>
      <c r="G33" s="32" t="b">
        <f>OR(G28:G32)</f>
        <v>1</v>
      </c>
    </row>
    <row r="34" hidden="1"/>
    <row r="36" ht="14.5" spans="4:7">
      <c r="D36" s="33"/>
      <c r="E36" s="33"/>
    </row>
    <row r="39" ht="17.5" spans="4:7">
      <c r="D39" s="34"/>
    </row>
    <row r="42" ht="14.5" spans="4:7">
      <c r="D42" s="33"/>
      <c r="E42" s="33"/>
    </row>
  </sheetData>
  <sheetProtection algorithmName="SHA-512" hashValue="YIHk2K7Ebya/xjKJoaEVw9LSmNVgg5heLZmYMRZwnlY/YkW2QsCDkibf3IWBzeq1EjESKT1PeHbnDxjV3KZqyg==" saltValue="k4m9L1jwdZhF7gKw/xQvWQ==" spinCount="100000" sheet="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B11" sqref="B11"/>
    </sheetView>
  </sheetViews>
  <sheetFormatPr defaultColWidth="9" defaultRowHeight="14" outlineLevelCol="4"/>
  <cols>
    <col min="1" max="1" width="10.5666666666667" customWidth="1"/>
    <col min="3" max="3" width="13.8583333333333" customWidth="1"/>
  </cols>
  <sheetData>
    <row r="1" spans="1:5">
      <c r="A1" t="s">
        <v>0</v>
      </c>
    </row>
    <row r="2" ht="14.75"/>
    <row r="3" spans="1:5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>
      <c r="A4" s="4" t="s">
        <v>6</v>
      </c>
      <c r="B4" s="5">
        <v>174310</v>
      </c>
      <c r="C4" s="5">
        <v>139722</v>
      </c>
      <c r="D4" s="5">
        <v>154988</v>
      </c>
      <c r="E4" s="6">
        <v>181816</v>
      </c>
    </row>
    <row r="5" spans="1:5">
      <c r="A5" s="4" t="s">
        <v>7</v>
      </c>
      <c r="B5" s="5">
        <v>112921</v>
      </c>
      <c r="C5" s="5">
        <v>112466</v>
      </c>
      <c r="D5" s="5">
        <v>113796</v>
      </c>
      <c r="E5" s="6">
        <v>101873</v>
      </c>
    </row>
    <row r="6" ht="14.75" spans="1:5">
      <c r="A6" s="7" t="s">
        <v>8</v>
      </c>
      <c r="B6" s="8">
        <f>B4-B5</f>
        <v>61389</v>
      </c>
      <c r="C6" s="8">
        <f>C4-C5</f>
        <v>27256</v>
      </c>
      <c r="D6" s="8">
        <f>D4-D5</f>
        <v>41192</v>
      </c>
      <c r="E6" s="9">
        <f>E4-E5</f>
        <v>79943</v>
      </c>
    </row>
    <row r="8" spans="1:5">
      <c r="A8" t="s">
        <v>8</v>
      </c>
    </row>
    <row r="10" spans="1:5">
      <c r="A10" s="10" t="s">
        <v>3</v>
      </c>
      <c r="B10" s="11">
        <f>_xlfn.XLOOKUP(A10,B3:E3,B6:E6)</f>
        <v>27256</v>
      </c>
      <c r="C10" s="12"/>
    </row>
    <row r="12" ht="14.5" spans="1:5">
      <c r="A12" t="s">
        <v>18</v>
      </c>
      <c r="B12" s="36" t="s">
        <v>13</v>
      </c>
    </row>
    <row r="14" spans="1:5">
      <c r="A14" t="s">
        <v>19</v>
      </c>
    </row>
    <row r="15" spans="1:5">
      <c r="A15" t="s">
        <v>20</v>
      </c>
    </row>
    <row r="16" spans="1:5">
      <c r="A16" t="s">
        <v>21</v>
      </c>
    </row>
    <row r="17" spans="1:1">
      <c r="A17" t="s">
        <v>22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凉   漠</cp:lastModifiedBy>
  <dcterms:created xsi:type="dcterms:W3CDTF">2020-02-07T21:14:00Z</dcterms:created>
  <dcterms:modified xsi:type="dcterms:W3CDTF">2026-04-19T01:33:17Z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479837B35D634ABBBE33F55E57275BCF_12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