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<sst xmlns="http://schemas.openxmlformats.org/spreadsheetml/2006/main" count="51" uniqueCount="18">
  <si>
    <t>Return the stock price for the day before and after January 4th 2020.</t>
  </si>
  <si>
    <t>Date</t>
  </si>
  <si>
    <t>Stock Price</t>
  </si>
  <si>
    <t>Price day before</t>
  </si>
  <si>
    <t>Price day after</t>
  </si>
  <si>
    <t>Checker (Hidden)</t>
  </si>
  <si>
    <t>=FORMULATEXT(b24)</t>
  </si>
  <si>
    <t>Without $</t>
  </si>
  <si>
    <t>Options</t>
  </si>
  <si>
    <t>=XLOOKUP(B12,A4:A9,B4:B9,,-1,)</t>
  </si>
  <si>
    <t>=XLOOKUP(B12,A3:A9,B3:B9,,-1,)</t>
  </si>
  <si>
    <t>=OR(I21:I25)&gt;&gt;</t>
  </si>
  <si>
    <t>=XLOOKUP(B12,A4:A9,B4:B9,,1,)</t>
  </si>
  <si>
    <t>=XLOOKUP(B12,A3:A9,B3:B9,,1,)</t>
  </si>
  <si>
    <t>Solution:</t>
  </si>
  <si>
    <t>To use approximate match, we can type -1 or 1 in match_mode argument.</t>
  </si>
  <si>
    <t>-1 will return next smallest match (January 3rd)</t>
  </si>
  <si>
    <t>1 will return next largest match (January 5th).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</si>
</sst>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77"/>
      <scheme val="minor"/>
    </font>
    <font>
      <sz val="11"/>
      <color rgb="FF444444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等线"/>
      <charset val="177"/>
      <scheme val="minor"/>
    </font>
    <font>
      <sz val="11"/>
      <color rgb="FF444444"/>
      <name val="Calibri"/>
      <charset val="1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9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2" fillId="4" borderId="0" xfId="0" applyFont="1" applyFill="1"/>
    <xf numFmtId="0" fontId="2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0" fillId="6" borderId="0" xfId="0" applyFill="1"/>
    <xf numFmtId="0" fontId="0" fillId="4" borderId="0" xfId="0" applyFill="1"/>
    <xf numFmtId="0" fontId="2" fillId="6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0" fillId="3" borderId="0" xfId="0" applyFill="1" applyProtection="1">
      <protection locked="0"/>
    </xf>
    <xf numFmtId="0" fontId="4" fillId="0" borderId="0" xfId="0" applyFont="1" applyProtection="1">
      <protection locked="0" hidden="1"/>
    </xf>
    <xf numFmtId="0" fontId="5" fillId="0" borderId="0" xfId="0" applyFont="1"/>
    <xf numFmtId="0" fontId="3" fillId="4" borderId="0" xfId="0" applyFont="1" applyFill="1" quotePrefix="1"/>
    <xf numFmtId="0" fontId="1" fillId="0" borderId="0" xfId="0" applyFont="1" quotePrefix="1"/>
    <xf numFmtId="0" fontId="3" fillId="6" borderId="1" xfId="0" applyFont="1" applyFill="1" applyBorder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workbookViewId="0">
      <selection activeCell="F14" sqref="F14"/>
    </sheetView>
  </sheetViews>
  <sheetFormatPr defaultColWidth="9.14166666666667" defaultRowHeight="14" outlineLevelCol="6"/>
  <cols>
    <col min="1" max="1" width="15.1416666666667" customWidth="1"/>
    <col min="2" max="2" width="10.8583333333333" customWidth="1"/>
    <col min="3" max="3" width="8.425" customWidth="1"/>
    <col min="4" max="4" width="10.8583333333333" customWidth="1"/>
    <col min="5" max="5" width="8.425" customWidth="1"/>
    <col min="6" max="6" width="28.1416666666667" customWidth="1"/>
  </cols>
  <sheetData>
    <row r="1" spans="1:3">
      <c r="A1" t="s">
        <v>0</v>
      </c>
    </row>
    <row r="3" spans="1:3">
      <c r="A3" t="s">
        <v>1</v>
      </c>
      <c r="B3" t="s">
        <v>2</v>
      </c>
    </row>
    <row r="4" spans="1:3">
      <c r="A4" s="1">
        <v>43831</v>
      </c>
      <c r="B4">
        <v>105</v>
      </c>
    </row>
    <row r="5" spans="1:3">
      <c r="A5" s="1">
        <v>43832</v>
      </c>
      <c r="B5">
        <v>104</v>
      </c>
    </row>
    <row r="6" spans="1:3">
      <c r="A6" s="1">
        <v>43833</v>
      </c>
      <c r="B6">
        <v>106</v>
      </c>
    </row>
    <row r="7" spans="1:3">
      <c r="A7" s="1">
        <v>43835</v>
      </c>
      <c r="B7">
        <v>107</v>
      </c>
    </row>
    <row r="8" spans="1:3">
      <c r="A8" s="1">
        <v>43836</v>
      </c>
      <c r="B8">
        <v>103</v>
      </c>
    </row>
    <row r="9" spans="1:3">
      <c r="A9" s="1">
        <v>43837</v>
      </c>
      <c r="B9">
        <v>102</v>
      </c>
    </row>
    <row r="12" spans="1:3">
      <c r="A12" t="s">
        <v>1</v>
      </c>
      <c r="B12" s="2">
        <v>43834</v>
      </c>
    </row>
    <row r="14" spans="1:3">
      <c r="A14" t="s">
        <v>3</v>
      </c>
      <c r="B14" s="16">
        <f>_xlfn.XLOOKUP(B12,A4:A9,B4:B9,,-1,)</f>
        <v>106</v>
      </c>
      <c r="C14" s="17" t="str">
        <f>IF(ISERROR(B14),"Error, please check the formula",IF(ISBLANK(B14),"&lt;- Insert formula here",IF(G34,"Correct! Good Job!","Wrong - Try again")))</f>
        <v>Correct! Good Job!</v>
      </c>
    </row>
    <row r="15" spans="1:3">
      <c r="A15" t="s">
        <v>4</v>
      </c>
      <c r="B15" s="16">
        <f>_xlfn.XLOOKUP(B12,A4:A9,B4:B9,,1,)</f>
        <v>107</v>
      </c>
      <c r="C15" s="17" t="str">
        <f>IF(ISERROR(B15),"Error, please check the formula",IF(ISBLANK(B15),"&lt;- Insert formula here",IF(G51,"Correct! Good Job!","Wrong - Try again")))</f>
        <v>Correct! Good Job!</v>
      </c>
    </row>
    <row r="21" ht="22.5" hidden="1" customHeight="1"/>
    <row r="22" hidden="1"/>
    <row r="23" hidden="1"/>
    <row r="24" ht="14.5" hidden="1" spans="4:7">
      <c r="D24" s="5"/>
      <c r="E24" s="5" t="s">
        <v>5</v>
      </c>
      <c r="F24" s="5"/>
    </row>
    <row r="25" ht="14.5" hidden="1" spans="4:7">
      <c r="D25" s="5"/>
      <c r="E25" s="6" t="str">
        <f>_xlfn.FORMULATEXT(B14)</f>
        <v>=XLOOKUP(B12,A4:A9,B4:B9,,-1,)</v>
      </c>
      <c r="F25" s="19" t="s">
        <v>6</v>
      </c>
    </row>
    <row r="26" ht="14.5" hidden="1" spans="4:7">
      <c r="F26" s="5"/>
    </row>
    <row r="27" ht="14.5" hidden="1" spans="4:7">
      <c r="D27" s="5"/>
      <c r="E27" s="7" t="str">
        <f>LEFT(SUBSTITUTE(E25,"$",""),F26)</f>
        <v/>
      </c>
      <c r="F27" s="7" t="s">
        <v>7</v>
      </c>
    </row>
    <row r="28" ht="14.5" hidden="1" spans="4:7">
      <c r="D28" s="8"/>
      <c r="E28" s="9" t="s">
        <v>8</v>
      </c>
      <c r="F28" s="10" t="s">
        <v>7</v>
      </c>
      <c r="G28" s="11"/>
    </row>
    <row r="29" ht="14.5" hidden="1" spans="4:7">
      <c r="D29" s="8">
        <v>1</v>
      </c>
      <c r="E29" s="20" t="s">
        <v>9</v>
      </c>
      <c r="F29" s="10" t="str">
        <f>SUBSTITUTE(E29,"$","")</f>
        <v>=XLOOKUP(B12,A4:A9,B4:B9,,-1,)</v>
      </c>
      <c r="G29" s="12" t="b">
        <f>F29=$E$25</f>
        <v>1</v>
      </c>
    </row>
    <row r="30" ht="14.5" hidden="1" spans="4:7">
      <c r="D30" s="8">
        <v>2</v>
      </c>
      <c r="E30" s="20" t="s">
        <v>10</v>
      </c>
      <c r="F30" s="10" t="str">
        <f>SUBSTITUTE(E30,"$","")</f>
        <v>=XLOOKUP(B12,A3:A9,B3:B9,,-1,)</v>
      </c>
      <c r="G30" s="12" t="b">
        <f>F30=$E$25</f>
        <v>0</v>
      </c>
    </row>
    <row r="31" ht="14.5" hidden="1" spans="4:7">
      <c r="D31" s="8">
        <v>5</v>
      </c>
      <c r="E31" s="4"/>
      <c r="F31" s="10" t="str">
        <f>SUBSTITUTE(E31,"$","")</f>
        <v/>
      </c>
      <c r="G31" s="12" t="b">
        <f>F31=$E$25</f>
        <v>0</v>
      </c>
    </row>
    <row r="32" ht="14.5" hidden="1" spans="4:7">
      <c r="D32" s="8">
        <v>6</v>
      </c>
      <c r="E32" s="4"/>
      <c r="F32" s="10" t="str">
        <f>SUBSTITUTE(E32,"$","")</f>
        <v/>
      </c>
      <c r="G32" s="12" t="b">
        <f>F32=$E$25</f>
        <v>0</v>
      </c>
    </row>
    <row r="33" ht="14.5" hidden="1" spans="4:7">
      <c r="D33" s="8"/>
      <c r="E33" s="4"/>
      <c r="F33" s="10"/>
      <c r="G33" s="12" t="b">
        <f>F33=$E$25</f>
        <v>0</v>
      </c>
    </row>
    <row r="34" ht="14.5" hidden="1" spans="4:7">
      <c r="D34" s="13"/>
      <c r="E34" s="21" t="s">
        <v>11</v>
      </c>
      <c r="F34" s="14"/>
      <c r="G34" s="15" t="b">
        <f>OR(G29:G33)</f>
        <v>1</v>
      </c>
    </row>
    <row r="35" hidden="1"/>
    <row r="36" hidden="1"/>
    <row r="37" ht="14.5" hidden="1" spans="4:7">
      <c r="D37" s="18"/>
      <c r="E37" s="18"/>
    </row>
    <row r="38" hidden="1"/>
    <row r="39" hidden="1"/>
    <row r="40" hidden="1"/>
    <row r="41" ht="14.5" hidden="1" spans="4:7">
      <c r="D41" s="5"/>
      <c r="E41" s="5" t="s">
        <v>5</v>
      </c>
      <c r="F41" s="5"/>
    </row>
    <row r="42" ht="14.5" hidden="1" spans="4:7">
      <c r="D42" s="5"/>
      <c r="E42" s="4" t="str">
        <f>_xlfn.FORMULATEXT(B15)</f>
        <v>=XLOOKUP(B12,A4:A9,B4:B9,,1,)</v>
      </c>
      <c r="F42" s="19" t="s">
        <v>6</v>
      </c>
    </row>
    <row r="43" ht="14.5" hidden="1" spans="4:7">
      <c r="F43" s="5"/>
    </row>
    <row r="44" ht="14.5" hidden="1" spans="4:7">
      <c r="D44" s="5"/>
      <c r="E44" s="7" t="str">
        <f>LEFT(SUBSTITUTE(E42,"$",""),F43)</f>
        <v/>
      </c>
      <c r="F44" s="7" t="s">
        <v>7</v>
      </c>
    </row>
    <row r="45" ht="14.5" hidden="1" spans="4:7">
      <c r="D45" s="8"/>
      <c r="E45" s="9" t="s">
        <v>8</v>
      </c>
      <c r="F45" s="10" t="s">
        <v>7</v>
      </c>
      <c r="G45" s="11"/>
    </row>
    <row r="46" ht="14.5" hidden="1" spans="4:7">
      <c r="D46" s="8">
        <v>1</v>
      </c>
      <c r="E46" s="20" t="s">
        <v>12</v>
      </c>
      <c r="F46" s="10" t="str">
        <f>SUBSTITUTE(E46,"$","")</f>
        <v>=XLOOKUP(B12,A4:A9,B4:B9,,1,)</v>
      </c>
      <c r="G46" s="12" t="b">
        <f>F46=$E$42</f>
        <v>1</v>
      </c>
    </row>
    <row r="47" ht="14.5" hidden="1" spans="4:7">
      <c r="D47" s="8">
        <v>2</v>
      </c>
      <c r="E47" s="20" t="s">
        <v>13</v>
      </c>
      <c r="F47" s="10" t="str">
        <f>SUBSTITUTE(E47,"$","")</f>
        <v>=XLOOKUP(B12,A3:A9,B3:B9,,1,)</v>
      </c>
      <c r="G47" s="12" t="b">
        <f>F47=$E$42</f>
        <v>0</v>
      </c>
    </row>
    <row r="48" ht="14.5" hidden="1" spans="4:7">
      <c r="D48" s="8">
        <v>5</v>
      </c>
      <c r="E48" s="20" t="s">
        <v>12</v>
      </c>
      <c r="F48" s="10" t="str">
        <f>SUBSTITUTE(E48,"$","")</f>
        <v>=XLOOKUP(B12,A4:A9,B4:B9,,1,)</v>
      </c>
      <c r="G48" s="12" t="b">
        <f>F48=$E$42</f>
        <v>1</v>
      </c>
    </row>
    <row r="49" ht="14.5" hidden="1" spans="4:7">
      <c r="D49" s="8">
        <v>6</v>
      </c>
      <c r="E49" s="4"/>
      <c r="F49" s="10" t="str">
        <f>SUBSTITUTE(E49,"$","")</f>
        <v/>
      </c>
      <c r="G49" s="12" t="b">
        <f>F49=$E$42</f>
        <v>0</v>
      </c>
    </row>
    <row r="50" ht="14.5" hidden="1" spans="4:7">
      <c r="D50" s="8"/>
      <c r="E50" s="4"/>
      <c r="F50" s="10"/>
      <c r="G50" s="12" t="b">
        <f>F50=$E$42</f>
        <v>0</v>
      </c>
    </row>
    <row r="51" ht="14.5" hidden="1" spans="4:7">
      <c r="D51" s="13"/>
      <c r="E51" s="21" t="s">
        <v>11</v>
      </c>
      <c r="F51" s="14"/>
      <c r="G51" s="15" t="b">
        <f>OR(G46:G50)</f>
        <v>1</v>
      </c>
    </row>
    <row r="52" hidden="1"/>
    <row r="53" hidden="1"/>
    <row r="54" hidden="1"/>
  </sheetData>
  <sheetProtection algorithmName="SHA-512" hashValue="5L5s5aRVhk5SdCiJD5qbEkiKSUMt1WjPzz8TzgVHr9Ty+2IIP0hyR9JI6OJbMgF86i2HrhRQ8E8YgApVFG4hSg==" saltValue="taWY0g0/tNvMXbrKE5zyqw==" spinCount="100000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B14" sqref="B14"/>
    </sheetView>
  </sheetViews>
  <sheetFormatPr defaultColWidth="9" defaultRowHeight="14" outlineLevelCol="6"/>
  <cols>
    <col min="1" max="1" width="15.1416666666667" customWidth="1"/>
    <col min="2" max="2" width="10.8583333333333" customWidth="1"/>
    <col min="3" max="3" width="8.425" customWidth="1"/>
    <col min="4" max="4" width="10.8583333333333" customWidth="1"/>
    <col min="5" max="5" width="8.425" customWidth="1"/>
    <col min="6" max="6" width="28.1416666666667" customWidth="1"/>
  </cols>
  <sheetData>
    <row r="1" spans="1:3">
      <c r="A1" t="s">
        <v>0</v>
      </c>
    </row>
    <row r="3" spans="1:3">
      <c r="A3" t="s">
        <v>1</v>
      </c>
      <c r="B3" t="s">
        <v>2</v>
      </c>
    </row>
    <row r="4" spans="1:3">
      <c r="A4" s="1">
        <v>43831</v>
      </c>
      <c r="B4">
        <v>105</v>
      </c>
    </row>
    <row r="5" spans="1:3">
      <c r="A5" s="1">
        <v>43832</v>
      </c>
      <c r="B5">
        <v>104</v>
      </c>
    </row>
    <row r="6" spans="1:3">
      <c r="A6" s="1">
        <v>43833</v>
      </c>
      <c r="B6">
        <v>106</v>
      </c>
    </row>
    <row r="7" spans="1:3">
      <c r="A7" s="1">
        <v>43835</v>
      </c>
      <c r="B7">
        <v>107</v>
      </c>
    </row>
    <row r="8" spans="1:3">
      <c r="A8" s="1">
        <v>43836</v>
      </c>
      <c r="B8">
        <v>103</v>
      </c>
    </row>
    <row r="9" spans="1:3">
      <c r="A9" s="1">
        <v>43837</v>
      </c>
      <c r="B9">
        <v>102</v>
      </c>
    </row>
    <row r="12" spans="1:3">
      <c r="A12" t="s">
        <v>1</v>
      </c>
      <c r="B12" s="2">
        <v>43834</v>
      </c>
    </row>
    <row r="14" ht="14.5" spans="1:3">
      <c r="A14" t="s">
        <v>3</v>
      </c>
      <c r="B14" s="3">
        <f>_xlfn.XLOOKUP(B12,A4:A9,B4:B9,,-1,)</f>
        <v>106</v>
      </c>
      <c r="C14" s="20" t="s">
        <v>9</v>
      </c>
    </row>
    <row r="15" ht="14.5" spans="1:3">
      <c r="A15" t="s">
        <v>4</v>
      </c>
      <c r="B15" s="3">
        <f>_xlfn.XLOOKUP(B12,A4:A9,B4:B9,,1,)</f>
        <v>107</v>
      </c>
      <c r="C15" s="20" t="s">
        <v>12</v>
      </c>
    </row>
    <row r="17" spans="1:7">
      <c r="A17" t="s">
        <v>14</v>
      </c>
    </row>
    <row r="18" hidden="1"/>
    <row r="19" hidden="1"/>
    <row r="20" hidden="1"/>
    <row r="21" ht="22.5" hidden="1" customHeight="1"/>
    <row r="22" hidden="1"/>
    <row r="23" hidden="1"/>
    <row r="24" ht="14.5" hidden="1" spans="1:7">
      <c r="D24" s="5"/>
      <c r="E24" s="5" t="s">
        <v>5</v>
      </c>
      <c r="F24" s="5"/>
    </row>
    <row r="25" ht="14.5" hidden="1" spans="1:7">
      <c r="D25" s="5"/>
      <c r="E25" s="6" t="str">
        <f>_xlfn.FORMULATEXT(B14)</f>
        <v>=XLOOKUP(B12,A4:A9,B4:B9,,-1,)</v>
      </c>
      <c r="F25" s="19" t="s">
        <v>6</v>
      </c>
    </row>
    <row r="26" ht="14.5" hidden="1" spans="1:7">
      <c r="F26" s="5"/>
    </row>
    <row r="27" ht="14.5" hidden="1" spans="1:7">
      <c r="D27" s="5"/>
      <c r="E27" s="7" t="str">
        <f>LEFT(SUBSTITUTE(E25,"$",""),F26)</f>
        <v/>
      </c>
      <c r="F27" s="7" t="s">
        <v>7</v>
      </c>
    </row>
    <row r="28" ht="14.5" hidden="1" spans="1:7">
      <c r="D28" s="8"/>
      <c r="E28" s="9" t="s">
        <v>8</v>
      </c>
      <c r="F28" s="10" t="s">
        <v>7</v>
      </c>
      <c r="G28" s="11"/>
    </row>
    <row r="29" ht="14.5" hidden="1" spans="1:7">
      <c r="D29" s="8">
        <v>1</v>
      </c>
      <c r="E29" s="20" t="s">
        <v>9</v>
      </c>
      <c r="F29" s="10" t="str">
        <f>SUBSTITUTE(E29,"$","")</f>
        <v>=XLOOKUP(B12,A4:A9,B4:B9,,-1,)</v>
      </c>
      <c r="G29" s="12" t="b">
        <f>F29=$E$25</f>
        <v>1</v>
      </c>
    </row>
    <row r="30" ht="14.5" hidden="1" spans="1:7">
      <c r="D30" s="8">
        <v>2</v>
      </c>
      <c r="E30" s="20" t="s">
        <v>10</v>
      </c>
      <c r="F30" s="10" t="str">
        <f>SUBSTITUTE(E30,"$","")</f>
        <v>=XLOOKUP(B12,A3:A9,B3:B9,,-1,)</v>
      </c>
      <c r="G30" s="12" t="b">
        <f>F30=$E$25</f>
        <v>0</v>
      </c>
    </row>
    <row r="31" ht="14.5" hidden="1" spans="1:7">
      <c r="D31" s="8">
        <v>5</v>
      </c>
      <c r="E31" s="4"/>
      <c r="F31" s="10" t="str">
        <f>SUBSTITUTE(E31,"$","")</f>
        <v/>
      </c>
      <c r="G31" s="12" t="b">
        <f>F31=$E$25</f>
        <v>0</v>
      </c>
    </row>
    <row r="32" ht="14.5" hidden="1" spans="1:7">
      <c r="D32" s="8">
        <v>6</v>
      </c>
      <c r="E32" s="4"/>
      <c r="F32" s="10" t="str">
        <f>SUBSTITUTE(E32,"$","")</f>
        <v/>
      </c>
      <c r="G32" s="12" t="b">
        <f>F32=$E$25</f>
        <v>0</v>
      </c>
    </row>
    <row r="33" ht="14.5" hidden="1" spans="4:7">
      <c r="D33" s="8"/>
      <c r="E33" s="4"/>
      <c r="F33" s="10"/>
      <c r="G33" s="12" t="b">
        <f>F33=$E$25</f>
        <v>0</v>
      </c>
    </row>
    <row r="34" ht="14.5" hidden="1" spans="4:7">
      <c r="D34" s="13"/>
      <c r="E34" s="21" t="s">
        <v>11</v>
      </c>
      <c r="F34" s="14"/>
      <c r="G34" s="15" t="b">
        <f>OR(G29:G33)</f>
        <v>1</v>
      </c>
    </row>
    <row r="35" hidden="1"/>
    <row r="36" hidden="1"/>
    <row r="37" ht="14.5" hidden="1" spans="4:7">
      <c r="D37" s="4"/>
      <c r="E37" s="4"/>
    </row>
    <row r="38" hidden="1"/>
    <row r="39" hidden="1"/>
    <row r="40" hidden="1"/>
    <row r="41" ht="14.5" hidden="1" spans="4:7">
      <c r="D41" s="5"/>
      <c r="E41" s="5" t="s">
        <v>5</v>
      </c>
      <c r="F41" s="5"/>
    </row>
    <row r="42" ht="14.5" hidden="1" spans="4:7">
      <c r="D42" s="5"/>
      <c r="E42" s="4" t="str">
        <f>_xlfn.FORMULATEXT(B15)</f>
        <v>=XLOOKUP(B12,A4:A9,B4:B9,,1,)</v>
      </c>
      <c r="F42" s="19" t="s">
        <v>6</v>
      </c>
    </row>
    <row r="43" ht="14.5" hidden="1" spans="4:7">
      <c r="F43" s="5"/>
    </row>
    <row r="44" ht="14.5" hidden="1" spans="4:7">
      <c r="D44" s="5"/>
      <c r="E44" s="7" t="str">
        <f>LEFT(SUBSTITUTE(E42,"$",""),F43)</f>
        <v/>
      </c>
      <c r="F44" s="7" t="s">
        <v>7</v>
      </c>
    </row>
    <row r="45" ht="14.5" hidden="1" spans="4:7">
      <c r="D45" s="8"/>
      <c r="E45" s="9" t="s">
        <v>8</v>
      </c>
      <c r="F45" s="10" t="s">
        <v>7</v>
      </c>
      <c r="G45" s="11"/>
    </row>
    <row r="46" ht="14.5" hidden="1" spans="4:7">
      <c r="D46" s="8">
        <v>1</v>
      </c>
      <c r="E46" s="20" t="s">
        <v>12</v>
      </c>
      <c r="F46" s="10" t="str">
        <f>SUBSTITUTE(E46,"$","")</f>
        <v>=XLOOKUP(B12,A4:A9,B4:B9,,1,)</v>
      </c>
      <c r="G46" s="12" t="b">
        <f>F46=$E$42</f>
        <v>1</v>
      </c>
    </row>
    <row r="47" ht="14.5" hidden="1" spans="4:7">
      <c r="D47" s="8">
        <v>2</v>
      </c>
      <c r="E47" s="20" t="s">
        <v>13</v>
      </c>
      <c r="F47" s="10" t="str">
        <f>SUBSTITUTE(E47,"$","")</f>
        <v>=XLOOKUP(B12,A3:A9,B3:B9,,1,)</v>
      </c>
      <c r="G47" s="12" t="b">
        <f>F47=$E$42</f>
        <v>0</v>
      </c>
    </row>
    <row r="48" ht="14.5" hidden="1" spans="4:7">
      <c r="D48" s="8">
        <v>5</v>
      </c>
      <c r="E48" s="4"/>
      <c r="F48" s="10" t="str">
        <f>SUBSTITUTE(E48,"$","")</f>
        <v/>
      </c>
      <c r="G48" s="12" t="b">
        <f>F48=$E$42</f>
        <v>0</v>
      </c>
    </row>
    <row r="49" ht="14.5" hidden="1" spans="1:7">
      <c r="D49" s="8">
        <v>6</v>
      </c>
      <c r="E49" s="4"/>
      <c r="F49" s="10" t="str">
        <f>SUBSTITUTE(E49,"$","")</f>
        <v/>
      </c>
      <c r="G49" s="12" t="b">
        <f>F49=$E$42</f>
        <v>0</v>
      </c>
    </row>
    <row r="50" ht="14.5" hidden="1" spans="1:7">
      <c r="D50" s="8"/>
      <c r="E50" s="4"/>
      <c r="F50" s="10"/>
      <c r="G50" s="12" t="b">
        <f>F50=$E$42</f>
        <v>0</v>
      </c>
    </row>
    <row r="51" ht="14.5" hidden="1" spans="1:7">
      <c r="D51" s="13"/>
      <c r="E51" s="21" t="s">
        <v>11</v>
      </c>
      <c r="F51" s="14"/>
      <c r="G51" s="15" t="b">
        <f>OR(G46:G50)</f>
        <v>1</v>
      </c>
    </row>
    <row r="52" hidden="1"/>
    <row r="53" hidden="1"/>
    <row r="54" spans="1:7">
      <c r="A54" t="s">
        <v>15</v>
      </c>
    </row>
    <row r="55" spans="1:7">
      <c r="A55" s="22" t="s">
        <v>16</v>
      </c>
    </row>
    <row r="56" spans="1:7">
      <c r="A56" t="s">
        <v>17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凉   漠</cp:lastModifiedBy>
  <dcterms:created xsi:type="dcterms:W3CDTF">2020-02-07T21:14:00Z</dcterms:created>
  <dcterms:modified xsi:type="dcterms:W3CDTF">2026-04-19T01:32:07Z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5DAF881CA3F44A2FBC3DAF615D5C3975_12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