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Question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<sst xmlns="http://schemas.openxmlformats.org/spreadsheetml/2006/main" count="47" uniqueCount="27">
  <si>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What is Jacob's favorite food?</t>
  </si>
  <si>
    <t>In case Jacob's name ins't in the table, return "Not found"</t>
  </si>
  <si>
    <t>Name</t>
  </si>
  <si>
    <t>Favorite food</t>
  </si>
  <si>
    <t>Dina</t>
  </si>
  <si>
    <t>Lobster</t>
  </si>
  <si>
    <t>Jake</t>
  </si>
  <si>
    <t>Falafel</t>
  </si>
  <si>
    <t>Joel</t>
  </si>
  <si>
    <t>Pasta</t>
  </si>
  <si>
    <t>Pizza</t>
  </si>
  <si>
    <t>Sam</t>
  </si>
  <si>
    <t>Hamburger</t>
  </si>
  <si>
    <t>Name:</t>
  </si>
  <si>
    <t>Jacob</t>
  </si>
  <si>
    <t>Favorite food:</t>
  </si>
  <si>
    <t>Checker (Hidden)</t>
  </si>
  <si>
    <t>=FORMULATEXT(b15)</t>
  </si>
  <si>
    <t>Without $</t>
  </si>
  <si>
    <t>Options</t>
  </si>
  <si>
    <t>=XLOOKUP(B11,A5:A9,B5:B9,"Not found")</t>
  </si>
  <si>
    <t>=XLOOKUP(B11,A4:A9,B4:B9,"Not found")</t>
  </si>
  <si>
    <t>=XLOOKUP("Jacob",A5:A9,B5:B9,"Not found")</t>
  </si>
  <si>
    <t>=XLOOKUP("Jacob",A4:A9,B4:B9,"Not found")</t>
  </si>
  <si>
    <t>=OR(I21:I25)&gt;&gt;</t>
  </si>
  <si>
    <t>The formula to do so is:</t>
  </si>
  <si>
    <t>We typed "Not found" to the if_not_found argument :)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</si>
</sst>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77"/>
      <scheme val="minor"/>
    </font>
    <font>
      <b/>
      <sz val="11"/>
      <color theme="1"/>
      <name val="等线"/>
      <charset val="177"/>
      <scheme val="minor"/>
    </font>
    <font>
      <sz val="11"/>
      <color rgb="FF444444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444444"/>
      <name val="Calibri"/>
      <charset val="1"/>
    </font>
    <font>
      <sz val="12"/>
      <color rgb="FF171717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3" borderId="0" xfId="0" applyFill="1" applyProtection="1">
      <protection locked="0"/>
    </xf>
    <xf numFmtId="0" fontId="1" fillId="0" borderId="0" xfId="0" applyFont="1" applyProtection="1">
      <protection hidden="1"/>
    </xf>
    <xf numFmtId="0" fontId="2" fillId="0" borderId="0" xfId="0" applyFont="1"/>
    <xf numFmtId="0" fontId="3" fillId="0" borderId="0" xfId="0" applyFont="1"/>
    <xf numFmtId="0" fontId="4" fillId="4" borderId="0" xfId="0" applyFont="1" applyFill="1"/>
    <xf numFmtId="0" fontId="3" fillId="4" borderId="0" xfId="0" applyFont="1" applyFill="1"/>
    <xf numFmtId="0" fontId="3" fillId="0" borderId="4" xfId="0" applyFont="1" applyBorder="1"/>
    <xf numFmtId="0" fontId="3" fillId="5" borderId="4" xfId="0" applyFont="1" applyFill="1" applyBorder="1"/>
    <xf numFmtId="0" fontId="3" fillId="4" borderId="4" xfId="0" applyFont="1" applyFill="1" applyBorder="1"/>
    <xf numFmtId="0" fontId="0" fillId="6" borderId="0" xfId="0" applyFill="1"/>
    <xf numFmtId="0" fontId="0" fillId="4" borderId="0" xfId="0" applyFill="1"/>
    <xf numFmtId="0" fontId="3" fillId="6" borderId="4" xfId="0" applyFont="1" applyFill="1" applyBorder="1"/>
    <xf numFmtId="0" fontId="4" fillId="6" borderId="4" xfId="0" applyFont="1" applyFill="1" applyBorder="1"/>
    <xf numFmtId="0" fontId="4" fillId="7" borderId="4" xfId="0" applyFont="1" applyFill="1" applyBorder="1"/>
    <xf numFmtId="0" fontId="5" fillId="0" borderId="0" xfId="0" applyFont="1"/>
    <xf numFmtId="0" fontId="6" fillId="0" borderId="0" xfId="0" applyFont="1"/>
    <xf numFmtId="0" fontId="4" fillId="4" borderId="0" xfId="0" applyFont="1" applyFill="1" quotePrefix="1"/>
    <xf numFmtId="0" fontId="2" fillId="0" borderId="0" xfId="0" applyFont="1" quotePrefix="1"/>
    <xf numFmtId="0" fontId="4" fillId="6" borderId="4" xfId="0" applyFon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B12" sqref="B12"/>
    </sheetView>
  </sheetViews>
  <sheetFormatPr defaultColWidth="9.14166666666667" defaultRowHeight="14" outlineLevelCol="6"/>
  <cols>
    <col min="1" max="1" width="13.425" customWidth="1"/>
    <col min="2" max="2" width="12.425" customWidth="1"/>
    <col min="3" max="3" width="13.7083333333333" customWidth="1"/>
    <col min="4" max="4" width="10.1416666666667" customWidth="1"/>
    <col min="5" max="5" width="39.1416666666667" customWidth="1"/>
    <col min="6" max="6" width="28.1416666666667" customWidth="1"/>
  </cols>
  <sheetData>
    <row r="1" spans="1:3">
      <c r="A1" t="s">
        <v>0</v>
      </c>
    </row>
    <row r="2" spans="1:3">
      <c r="A2" t="s">
        <v>1</v>
      </c>
    </row>
    <row r="3" ht="14.75"/>
    <row r="4" spans="1:3">
      <c r="A4" s="1" t="s">
        <v>2</v>
      </c>
      <c r="B4" s="2" t="s">
        <v>3</v>
      </c>
    </row>
    <row r="5" spans="1:3">
      <c r="A5" s="3" t="s">
        <v>4</v>
      </c>
      <c r="B5" s="4" t="s">
        <v>5</v>
      </c>
    </row>
    <row r="6" spans="1:3">
      <c r="A6" s="3" t="s">
        <v>6</v>
      </c>
      <c r="B6" s="4" t="s">
        <v>7</v>
      </c>
    </row>
    <row r="7" spans="1:3">
      <c r="A7" s="3" t="s">
        <v>8</v>
      </c>
      <c r="B7" s="4" t="s">
        <v>9</v>
      </c>
    </row>
    <row r="8" spans="1:3">
      <c r="A8" s="3" t="s">
        <v>4</v>
      </c>
      <c r="B8" s="4" t="s">
        <v>10</v>
      </c>
    </row>
    <row r="9" spans="1:3">
      <c r="A9" s="3" t="s">
        <v>11</v>
      </c>
      <c r="B9" s="4" t="s">
        <v>12</v>
      </c>
    </row>
    <row r="11" spans="1:3">
      <c r="A11" t="s">
        <v>13</v>
      </c>
      <c r="B11" t="s">
        <v>14</v>
      </c>
    </row>
    <row r="12" spans="1:3">
      <c r="A12" t="s">
        <v>15</v>
      </c>
      <c r="B12" s="5" t="str">
        <f>_xlfn.XLOOKUP(B11,A5:A9,B5:B9,"Not found")</f>
        <v>Not found</v>
      </c>
      <c r="C12" s="6" t="str">
        <f>IF(ISERROR(B12),"Error, please check the formula",IF(ISBLANK(B12),"&lt;- Insert formula here",IF(G31,"Correct! Good Job!","Wrong - Try again")))</f>
        <v>Correct! Good Job!</v>
      </c>
    </row>
    <row r="18" ht="22.5" hidden="1" customHeight="1"/>
    <row r="19" hidden="1"/>
    <row r="20" hidden="1"/>
    <row r="21" ht="14.5" hidden="1" spans="4:7">
      <c r="D21" s="8"/>
      <c r="E21" s="8" t="s">
        <v>16</v>
      </c>
      <c r="F21" s="8"/>
    </row>
    <row r="22" ht="14.5" hidden="1" spans="4:7">
      <c r="D22" s="8"/>
      <c r="E22" s="9" t="str">
        <f>_xlfn.FORMULATEXT(B12)</f>
        <v>=XLOOKUP(B11,A5:A9,B5:B9,"Not found")</v>
      </c>
      <c r="F22" s="21" t="s">
        <v>17</v>
      </c>
    </row>
    <row r="23" ht="14.5" hidden="1" spans="4:7">
      <c r="F23" s="8"/>
    </row>
    <row r="24" ht="14.5" hidden="1" spans="4:7">
      <c r="D24" s="8"/>
      <c r="E24" s="10" t="str">
        <f>LEFT(SUBSTITUTE(E22,"$",""),F23)</f>
        <v/>
      </c>
      <c r="F24" s="10" t="s">
        <v>18</v>
      </c>
    </row>
    <row r="25" ht="14.5" hidden="1" spans="4:7">
      <c r="D25" s="11"/>
      <c r="E25" s="12" t="s">
        <v>19</v>
      </c>
      <c r="F25" s="13" t="s">
        <v>18</v>
      </c>
      <c r="G25" s="14"/>
    </row>
    <row r="26" ht="14.5" hidden="1" spans="4:7">
      <c r="D26" s="11">
        <v>1</v>
      </c>
      <c r="E26" s="22" t="s">
        <v>20</v>
      </c>
      <c r="F26" s="13" t="str">
        <f>SUBSTITUTE(E26,"$","")</f>
        <v>=XLOOKUP(B11,A5:A9,B5:B9,"Not found")</v>
      </c>
      <c r="G26" s="15" t="b">
        <f>F26=$E$22</f>
        <v>1</v>
      </c>
    </row>
    <row r="27" ht="14.5" hidden="1" spans="4:7">
      <c r="D27" s="11">
        <v>2</v>
      </c>
      <c r="E27" s="22" t="s">
        <v>21</v>
      </c>
      <c r="F27" s="13" t="str">
        <f>SUBSTITUTE(E27,"$","")</f>
        <v>=XLOOKUP(B11,A4:A9,B4:B9,"Not found")</v>
      </c>
      <c r="G27" s="15" t="b">
        <f>F27=$E$22</f>
        <v>0</v>
      </c>
    </row>
    <row r="28" ht="14.5" hidden="1" spans="4:7">
      <c r="D28" s="11">
        <v>5</v>
      </c>
      <c r="E28" s="22" t="s">
        <v>22</v>
      </c>
      <c r="F28" s="13" t="str">
        <f>SUBSTITUTE(E28,"$","")</f>
        <v>=XLOOKUP("Jacob",A5:A9,B5:B9,"Not found")</v>
      </c>
      <c r="G28" s="15" t="b">
        <f>F28=$E$22</f>
        <v>0</v>
      </c>
    </row>
    <row r="29" ht="14.5" hidden="1" spans="4:7">
      <c r="D29" s="11">
        <v>6</v>
      </c>
      <c r="E29" s="22" t="s">
        <v>23</v>
      </c>
      <c r="F29" s="13" t="str">
        <f>SUBSTITUTE(E29,"$","")</f>
        <v>=XLOOKUP("Jacob",A4:A9,B4:B9,"Not found")</v>
      </c>
      <c r="G29" s="15" t="b">
        <f>F29=$E$22</f>
        <v>0</v>
      </c>
    </row>
    <row r="30" ht="14.5" hidden="1" spans="4:7">
      <c r="D30" s="11"/>
      <c r="E30" s="7"/>
      <c r="F30" s="13"/>
      <c r="G30" s="15"/>
    </row>
    <row r="31" ht="14.5" hidden="1" spans="4:7">
      <c r="D31" s="16"/>
      <c r="E31" s="23" t="s">
        <v>24</v>
      </c>
      <c r="F31" s="17"/>
      <c r="G31" s="18" t="b">
        <f>OR(G26:G30)</f>
        <v>1</v>
      </c>
    </row>
    <row r="32" hidden="1"/>
    <row r="33" hidden="1"/>
    <row r="34" ht="14.5" hidden="1" spans="4:5">
      <c r="D34" s="19"/>
      <c r="E34" s="19"/>
    </row>
    <row r="37" ht="17.5" spans="4:5">
      <c r="D37" s="20"/>
    </row>
    <row r="40" ht="14.5" spans="4:5">
      <c r="D40" s="19"/>
      <c r="E40" s="19"/>
    </row>
  </sheetData>
  <sheetProtection algorithmName="SHA-512" hashValue="0SdfbDB5CXwcXAyQvDmHNHBIDEWNN0aMo4V/snN7+KFIn9+sBHxafhwPZTo5bKlhWqeOdHANkm4fzCqgAtarBA==" saltValue="q6TmxafY94+v20Ox9N8wcg==" spinCount="100000" sheet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B13" sqref="B13"/>
    </sheetView>
  </sheetViews>
  <sheetFormatPr defaultColWidth="9" defaultRowHeight="14" outlineLevelCol="2"/>
  <cols>
    <col min="1" max="1" width="14.1416666666667" customWidth="1"/>
    <col min="3" max="3" width="13.8583333333333" customWidth="1"/>
  </cols>
  <sheetData>
    <row r="1" spans="1:3">
      <c r="A1" t="s">
        <v>0</v>
      </c>
    </row>
    <row r="2" spans="1:3">
      <c r="A2" t="s">
        <v>1</v>
      </c>
    </row>
    <row r="3" ht="14.75"/>
    <row r="4" spans="1:3">
      <c r="A4" s="1" t="s">
        <v>2</v>
      </c>
      <c r="B4" s="2" t="s">
        <v>3</v>
      </c>
    </row>
    <row r="5" spans="1:3">
      <c r="A5" s="3" t="s">
        <v>4</v>
      </c>
      <c r="B5" s="4" t="s">
        <v>5</v>
      </c>
    </row>
    <row r="6" spans="1:3">
      <c r="A6" s="3" t="s">
        <v>6</v>
      </c>
      <c r="B6" s="4" t="s">
        <v>7</v>
      </c>
    </row>
    <row r="7" spans="1:3">
      <c r="A7" s="3" t="s">
        <v>8</v>
      </c>
      <c r="B7" s="4" t="s">
        <v>9</v>
      </c>
    </row>
    <row r="8" spans="1:3">
      <c r="A8" s="3" t="s">
        <v>4</v>
      </c>
      <c r="B8" s="4" t="s">
        <v>10</v>
      </c>
    </row>
    <row r="9" spans="1:3">
      <c r="A9" s="3" t="s">
        <v>11</v>
      </c>
      <c r="B9" s="4" t="s">
        <v>12</v>
      </c>
    </row>
    <row r="11" spans="1:3">
      <c r="A11" t="s">
        <v>13</v>
      </c>
      <c r="B11" t="s">
        <v>14</v>
      </c>
    </row>
    <row r="12" spans="1:3">
      <c r="A12" t="s">
        <v>15</v>
      </c>
      <c r="B12" s="5" t="str">
        <f>_xlfn.XLOOKUP(B11,A4:A9,B4:B9,"Not found")</f>
        <v>Not found</v>
      </c>
      <c r="C12" s="6"/>
    </row>
    <row r="14" spans="1:3">
      <c r="A14" t="s">
        <v>25</v>
      </c>
    </row>
    <row r="15" ht="14.5" spans="1:3">
      <c r="A15" s="22" t="s">
        <v>21</v>
      </c>
    </row>
    <row r="17" spans="1:1">
      <c r="A17" t="s">
        <v>26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凉   漠</cp:lastModifiedBy>
  <dcterms:created xsi:type="dcterms:W3CDTF">2020-02-07T21:14:00Z</dcterms:created>
  <dcterms:modified xsi:type="dcterms:W3CDTF">2026-04-19T01:35:41Z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010C6A431D46430F87E0EFBB9A1EA44A_12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