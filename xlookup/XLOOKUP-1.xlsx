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customXml/itemProps1.xml" ContentType="application/vnd.openxmlformats-officedocument.customXml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0720" windowHeight="8080"/>
  </bookViews>
  <sheets>
    <sheet name="XLOOKUP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<sst xmlns="http://schemas.openxmlformats.org/spreadsheetml/2006/main" count="22" uniqueCount="19">
  <si>
    <t>Use XLOOKUP to find the age of Jack</t>
  </si>
  <si>
    <t>Age</t>
  </si>
  <si>
    <t>Name</t>
  </si>
  <si>
    <t>John</t>
  </si>
  <si>
    <t>Michael</t>
  </si>
  <si>
    <t>Jake</t>
  </si>
  <si>
    <t>Russel</t>
  </si>
  <si>
    <t>Jack</t>
  </si>
  <si>
    <t>Dan</t>
  </si>
  <si>
    <t>Name:</t>
  </si>
  <si>
    <t>Excel-Practice-Online.com Checking Tool:</t>
  </si>
  <si>
    <t>Checker (Hidden)</t>
  </si>
  <si>
    <t>=FORMULATEXT(B12)</t>
  </si>
  <si>
    <t>LEN -1 (No left Parenthesis)</t>
  </si>
  <si>
    <t>Without $ and Left Parenthesis</t>
  </si>
  <si>
    <t>Options</t>
  </si>
  <si>
    <t>=XLOOKUP(B10,B3:B8,A3:A8</t>
  </si>
  <si>
    <t>=XLOOKUP("Jack",B3:B8,A3:A8</t>
  </si>
  <si>
    <t>=OR(I21:I25)&gt;&gt;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</si>
</sst>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6">
    <font>
      <sz val="11"/>
      <color theme="1"/>
      <name val="等线"/>
      <charset val="134"/>
      <scheme val="minor"/>
    </font>
    <font>
      <b/>
      <sz val="11"/>
      <color theme="1"/>
      <name val="等线"/>
      <charset val="134"/>
      <scheme val="minor"/>
    </font>
    <font>
      <sz val="9"/>
      <color theme="1"/>
      <name val="等线"/>
      <charset val="134"/>
      <scheme val="minor"/>
    </font>
    <font>
      <b/>
      <sz val="11"/>
      <color rgb="FF000000"/>
      <name val="等线"/>
      <charset val="134"/>
      <scheme val="minor"/>
    </font>
    <font>
      <sz val="11"/>
      <color rgb="FF000000"/>
      <name val="Calibri"/>
      <charset val="134"/>
    </font>
    <font>
      <b/>
      <sz val="11"/>
      <color rgb="FF000000"/>
      <name val="Calibri"/>
      <charset val="134"/>
    </font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8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2" tint="-0.099978637043366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6" fillId="0" borderId="0" applyFont="0" applyFill="0" applyBorder="0" applyAlignment="0" applyProtection="0">
      <alignment vertical="center"/>
    </xf>
    <xf numFmtId="44" fontId="6" fillId="0" borderId="0" applyFon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2" fontId="6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6" fillId="7" borderId="3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4" applyNumberFormat="0" applyFill="0" applyAlignment="0" applyProtection="0">
      <alignment vertical="center"/>
    </xf>
    <xf numFmtId="0" fontId="13" fillId="0" borderId="4" applyNumberFormat="0" applyFill="0" applyAlignment="0" applyProtection="0">
      <alignment vertical="center"/>
    </xf>
    <xf numFmtId="0" fontId="14" fillId="0" borderId="5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8" borderId="6" applyNumberFormat="0" applyAlignment="0" applyProtection="0">
      <alignment vertical="center"/>
    </xf>
    <xf numFmtId="0" fontId="16" fillId="9" borderId="7" applyNumberFormat="0" applyAlignment="0" applyProtection="0">
      <alignment vertical="center"/>
    </xf>
    <xf numFmtId="0" fontId="17" fillId="9" borderId="6" applyNumberFormat="0" applyAlignment="0" applyProtection="0">
      <alignment vertical="center"/>
    </xf>
    <xf numFmtId="0" fontId="18" fillId="10" borderId="8" applyNumberFormat="0" applyAlignment="0" applyProtection="0">
      <alignment vertical="center"/>
    </xf>
    <xf numFmtId="0" fontId="19" fillId="0" borderId="9" applyNumberFormat="0" applyFill="0" applyAlignment="0" applyProtection="0">
      <alignment vertical="center"/>
    </xf>
    <xf numFmtId="0" fontId="20" fillId="0" borderId="10" applyNumberFormat="0" applyFill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5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5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5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5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5" fillId="32" borderId="0" applyNumberFormat="0" applyBorder="0" applyAlignment="0" applyProtection="0">
      <alignment vertical="center"/>
    </xf>
    <xf numFmtId="0" fontId="24" fillId="33" borderId="0" applyNumberFormat="0" applyBorder="0" applyAlignment="0" applyProtection="0">
      <alignment vertical="center"/>
    </xf>
    <xf numFmtId="0" fontId="24" fillId="34" borderId="0" applyNumberFormat="0" applyBorder="0" applyAlignment="0" applyProtection="0">
      <alignment vertical="center"/>
    </xf>
    <xf numFmtId="0" fontId="25" fillId="35" borderId="0" applyNumberFormat="0" applyBorder="0" applyAlignment="0" applyProtection="0">
      <alignment vertical="center"/>
    </xf>
    <xf numFmtId="0" fontId="25" fillId="36" borderId="0" applyNumberFormat="0" applyBorder="0" applyAlignment="0" applyProtection="0">
      <alignment vertical="center"/>
    </xf>
    <xf numFmtId="0" fontId="24" fillId="37" borderId="0" applyNumberFormat="0" applyBorder="0" applyAlignment="0" applyProtection="0">
      <alignment vertical="center"/>
    </xf>
  </cellStyleXfs>
  <cellXfs count="18">
    <xf numFmtId="0" fontId="0" fillId="0" borderId="0" xfId="0"/>
    <xf numFmtId="0" fontId="0" fillId="0" borderId="0" xfId="0" applyProtection="1">
      <protection hidden="1"/>
    </xf>
    <xf numFmtId="0" fontId="1" fillId="0" borderId="0" xfId="0" applyFont="1" applyProtection="1">
      <protection hidden="1"/>
    </xf>
    <xf numFmtId="0" fontId="1" fillId="0" borderId="1" xfId="0" applyFont="1" applyBorder="1" applyProtection="1">
      <protection hidden="1"/>
    </xf>
    <xf numFmtId="0" fontId="0" fillId="0" borderId="1" xfId="0" applyBorder="1" applyProtection="1">
      <protection hidden="1"/>
    </xf>
    <xf numFmtId="0" fontId="2" fillId="0" borderId="0" xfId="0" applyFont="1" applyAlignment="1" applyProtection="1">
      <alignment wrapText="1"/>
      <protection hidden="1"/>
    </xf>
    <xf numFmtId="0" fontId="0" fillId="2" borderId="0" xfId="0" applyFill="1" applyProtection="1">
      <protection locked="0" hidden="1"/>
    </xf>
    <xf numFmtId="0" fontId="3" fillId="0" borderId="0" xfId="0" applyFont="1" applyProtection="1">
      <protection hidden="1"/>
    </xf>
    <xf numFmtId="0" fontId="4" fillId="0" borderId="0" xfId="0" applyFont="1" applyProtection="1">
      <protection hidden="1"/>
    </xf>
    <xf numFmtId="0" fontId="5" fillId="3" borderId="0" xfId="0" applyFont="1" applyFill="1" applyProtection="1">
      <protection hidden="1"/>
    </xf>
    <xf numFmtId="0" fontId="4" fillId="0" borderId="2" xfId="0" applyFont="1" applyBorder="1" applyProtection="1">
      <protection hidden="1"/>
    </xf>
    <xf numFmtId="0" fontId="4" fillId="4" borderId="2" xfId="0" applyFont="1" applyFill="1" applyBorder="1" applyProtection="1">
      <protection hidden="1"/>
    </xf>
    <xf numFmtId="0" fontId="4" fillId="3" borderId="2" xfId="0" applyFont="1" applyFill="1" applyBorder="1" applyProtection="1">
      <protection hidden="1"/>
    </xf>
    <xf numFmtId="0" fontId="0" fillId="5" borderId="0" xfId="0" applyFill="1" applyProtection="1">
      <protection hidden="1"/>
    </xf>
    <xf numFmtId="0" fontId="0" fillId="3" borderId="0" xfId="0" applyFill="1" applyProtection="1">
      <protection hidden="1"/>
    </xf>
    <xf numFmtId="0" fontId="4" fillId="5" borderId="2" xfId="0" applyFont="1" applyFill="1" applyBorder="1" applyProtection="1">
      <protection hidden="1"/>
    </xf>
    <xf numFmtId="0" fontId="5" fillId="5" borderId="2" xfId="0" applyFont="1" applyFill="1" applyBorder="1" applyProtection="1">
      <protection hidden="1"/>
    </xf>
    <xf numFmtId="0" fontId="5" fillId="6" borderId="2" xfId="0" applyFont="1" applyFill="1" applyBorder="1" applyProtection="1">
      <protection hidden="1"/>
    </xf>
    <xf numFmtId="0" fontId="5" fillId="3" borderId="0" xfId="0" applyFont="1" applyFill="1" applyProtection="1" quotePrefix="1">
      <protection hidden="1"/>
    </xf>
    <xf numFmtId="0" fontId="4" fillId="0" borderId="0" xfId="0" applyFont="1" applyProtection="1" quotePrefix="1">
      <protection hidden="1"/>
    </xf>
    <xf numFmtId="0" fontId="5" fillId="5" borderId="2" xfId="0" applyFont="1" applyFill="1" applyBorder="1" applyProtection="1" quotePrefix="1">
      <protection hidden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customXml" Target="../customXml/item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37"/>
  <sheetViews>
    <sheetView tabSelected="1" workbookViewId="0">
      <selection activeCell="B12" sqref="B12"/>
    </sheetView>
  </sheetViews>
  <sheetFormatPr defaultColWidth="9.14166666666667" defaultRowHeight="14" outlineLevelCol="6"/>
  <cols>
    <col min="1" max="1" width="13.425" style="1" customWidth="1"/>
    <col min="2" max="2" width="14.7083333333333" style="1" customWidth="1"/>
    <col min="3" max="3" width="5.28333333333333" style="1" customWidth="1"/>
    <col min="4" max="4" width="21.7083333333333" style="1" customWidth="1"/>
    <col min="5" max="5" width="27" style="1" customWidth="1"/>
    <col min="6" max="6" width="26.425" style="1" customWidth="1"/>
    <col min="7" max="16384" width="9.14166666666667" style="1"/>
  </cols>
  <sheetData>
    <row r="1" spans="1:4">
      <c r="A1" s="2" t="s">
        <v>0</v>
      </c>
    </row>
    <row r="2" spans="1:4">
      <c r="A2" s="3" t="s">
        <v>1</v>
      </c>
      <c r="B2" s="3" t="s">
        <v>2</v>
      </c>
    </row>
    <row r="3" spans="1:4">
      <c r="A3" s="4">
        <v>12</v>
      </c>
      <c r="B3" s="4" t="s">
        <v>3</v>
      </c>
    </row>
    <row r="4" spans="1:4">
      <c r="A4" s="4">
        <v>13</v>
      </c>
      <c r="B4" s="4" t="s">
        <v>4</v>
      </c>
    </row>
    <row r="5" spans="1:4">
      <c r="A5" s="4">
        <v>14</v>
      </c>
      <c r="B5" s="4" t="s">
        <v>5</v>
      </c>
    </row>
    <row r="6" spans="1:4">
      <c r="A6" s="4">
        <v>12</v>
      </c>
      <c r="B6" s="4" t="s">
        <v>6</v>
      </c>
    </row>
    <row r="7" spans="1:4">
      <c r="A7" s="4">
        <v>16</v>
      </c>
      <c r="B7" s="4" t="s">
        <v>7</v>
      </c>
    </row>
    <row r="8" spans="1:4">
      <c r="A8" s="4">
        <v>15</v>
      </c>
      <c r="B8" s="4" t="s">
        <v>8</v>
      </c>
    </row>
    <row r="10" ht="23" spans="1:4">
      <c r="A10" s="1" t="s">
        <v>9</v>
      </c>
      <c r="B10" s="2" t="s">
        <v>7</v>
      </c>
      <c r="D10" s="5" t="s">
        <v>10</v>
      </c>
    </row>
    <row r="11" spans="1:4">
      <c r="A11" s="1" t="s">
        <v>1</v>
      </c>
      <c r="B11" s="6">
        <f>_xlfn.XLOOKUP(B10,B3:B8,A3:A8)</f>
        <v>16</v>
      </c>
      <c r="D11" s="7" t="str">
        <f>IF(ISERROR(B11),"Error, please check the formula",IF(ISBLANK(B11),"&lt;- Insert formula here",IF(G35,"Correct! Good Job!","Wrong - Try again")))</f>
        <v>Correct! Good Job!</v>
      </c>
    </row>
    <row r="21" hidden="1"/>
    <row r="22" hidden="1"/>
    <row r="23" hidden="1"/>
    <row r="24" ht="14.5" hidden="1" spans="4:7">
      <c r="D24" s="8"/>
      <c r="E24" s="8" t="s">
        <v>11</v>
      </c>
      <c r="F24" s="8"/>
    </row>
    <row r="25" ht="14.5" hidden="1" spans="4:7">
      <c r="D25" s="8"/>
      <c r="E25" s="9" t="str">
        <f>_xlfn.FORMULATEXT(B11)</f>
        <v>=XLOOKUP(B10,B3:B8,A3:A8)</v>
      </c>
      <c r="F25" s="18" t="s">
        <v>12</v>
      </c>
    </row>
    <row r="26" ht="14.5" hidden="1" spans="4:7">
      <c r="E26" s="1" t="s">
        <v>13</v>
      </c>
      <c r="F26" s="8">
        <f>LEN(E25)-1</f>
        <v>24</v>
      </c>
    </row>
    <row r="27" ht="14.5" hidden="1" spans="4:7">
      <c r="D27" s="8"/>
      <c r="E27" s="9" t="str">
        <f>LEFT(SUBSTITUTE(E25,"$",""),F26)</f>
        <v>=XLOOKUP(B10,B3:B8,A3:A8</v>
      </c>
      <c r="F27" s="9" t="s">
        <v>14</v>
      </c>
    </row>
    <row r="28" hidden="1"/>
    <row r="29" ht="14.5" hidden="1" spans="4:7">
      <c r="D29" s="10"/>
      <c r="E29" s="11" t="s">
        <v>15</v>
      </c>
      <c r="F29" s="12" t="s">
        <v>14</v>
      </c>
      <c r="G29" s="13"/>
    </row>
    <row r="30" ht="14.5" hidden="1" spans="4:7">
      <c r="D30" s="10">
        <v>1</v>
      </c>
      <c r="E30" s="19" t="s">
        <v>16</v>
      </c>
      <c r="F30" s="12" t="str">
        <f>SUBSTITUTE(E30,"$","")</f>
        <v>=XLOOKUP(B10,B3:B8,A3:A8</v>
      </c>
      <c r="G30" s="14" t="b">
        <f>F30=$E$27</f>
        <v>1</v>
      </c>
    </row>
    <row r="31" ht="14.5" hidden="1" spans="4:7">
      <c r="D31" s="10">
        <v>2</v>
      </c>
      <c r="E31" s="19" t="s">
        <v>17</v>
      </c>
      <c r="F31" s="12" t="str">
        <f>SUBSTITUTE(E31,"$","")</f>
        <v>=XLOOKUP("Jack",B3:B8,A3:A8</v>
      </c>
      <c r="G31" s="14" t="b">
        <f>F31=$E$27</f>
        <v>0</v>
      </c>
    </row>
    <row r="32" ht="14.5" hidden="1" spans="4:7">
      <c r="D32" s="10">
        <v>3</v>
      </c>
      <c r="E32" s="13"/>
      <c r="F32" s="13"/>
      <c r="G32" s="14" t="b">
        <f>F32=$E$27</f>
        <v>0</v>
      </c>
    </row>
    <row r="33" ht="14.5" hidden="1" spans="4:7">
      <c r="D33" s="10">
        <v>4</v>
      </c>
      <c r="E33" s="13"/>
      <c r="F33" s="13"/>
      <c r="G33" s="14" t="b">
        <f>F33=$E$27</f>
        <v>0</v>
      </c>
    </row>
    <row r="34" ht="14.5" hidden="1" spans="4:7">
      <c r="D34" s="10">
        <v>5</v>
      </c>
      <c r="E34" s="13"/>
      <c r="F34" s="13"/>
      <c r="G34" s="14" t="b">
        <f>F34=$E$27</f>
        <v>0</v>
      </c>
    </row>
    <row r="35" ht="14.5" hidden="1" spans="4:7">
      <c r="D35" s="15"/>
      <c r="E35" s="20" t="s">
        <v>18</v>
      </c>
      <c r="F35" s="16"/>
      <c r="G35" s="17" t="b">
        <f>OR(G30:G34)</f>
        <v>1</v>
      </c>
    </row>
    <row r="36" hidden="1"/>
    <row r="37" hidden="1"/>
  </sheetData>
  <sheetProtection algorithmName="SHA-512" hashValue="jPaKciuHXhRj6UwTVUpBg464nbX1b/+coil3b+uUxM0ro3CfmdMV7YqRHJpgP7zCpyWdNW5StongaSGpzZiT7w==" saltValue="ZMbm6BjC1Z/ziBgp4myaQQ==" spinCount="100000" sheet="1"/>
  <pageMargins left="0.7" right="0.7" top="0.75" bottom="0.75" header="0.3" footer="0.3"/>
  <pageSetup paperSize="1" orientation="portrait"/>
  <headerFooter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allowEditUser xmlns="https://web.wps.cn/et/2018/main" xmlns:s="http://schemas.openxmlformats.org/spreadsheetml/2006/main" hasInvisiblePropRange="0">
  <rangeList sheetStid="1" master="" otherUserPermission="visible"/>
</allowEditUser>
</file>

<file path=customXml/itemProps1.xml><?xml version="1.0" encoding="utf-8"?>
<ds:datastoreItem xmlns:ds="http://schemas.openxmlformats.org/officeDocument/2006/customXml" ds:itemID="{5A5607D9-04D2-4DE1-AC0E-A7772F01BC71}">
  <ds:schemaRefs>
    <ds:schemaRef ds:uri="https://web.wps.cn/et/2018/main"/>
    <ds:schemaRef ds:uri="http://schemas.openxmlformats.org/spreadsheetml/2006/main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XLOOKUP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Yoav Yeshaya</dc:creator>
  <cp:lastModifiedBy>凉   漠</cp:lastModifiedBy>
  <dcterms:created xsi:type="dcterms:W3CDTF">2019-11-12T01:42:00Z</dcterms:created>
  <dcterms:modified xsi:type="dcterms:W3CDTF">2026-04-19T01:20:46Z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1CD6CD7866C744228897F8FE9520D09C_12</vt:lpwstr>
  </property>
  <property fmtid="{D5CDD505-2E9C-101B-9397-08002B2CF9AE}" pid="3" name="KSOProductBuildVer">
    <vt:lpwstr>2052-12.1.0.25865</vt:lpwstr>
  </property>
  <property fmtid="{D5CDD505-2E9C-101B-9397-08002B2CF9AE}" pid="4" name="CalculationRule">
    <vt:i4>0</vt:i4>
  </property>
</Properties>
</file>